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f0b830a98b4d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wers" sheetId="1" r:id="R3d141ef3d47f457f"/>
    <x:sheet xmlns:r="http://schemas.openxmlformats.org/officeDocument/2006/relationships" name="Enemies" sheetId="2" r:id="Re5a05560da814900"/>
    <x:sheet xmlns:r="http://schemas.openxmlformats.org/officeDocument/2006/relationships" name="Gold Economy" sheetId="3" r:id="R2e8322b4307646d7"/>
    <x:sheet xmlns:r="http://schemas.openxmlformats.org/officeDocument/2006/relationships" name="Tower Economy" sheetId="4" r:id="R5f6b968288864cff"/>
    <x:sheet xmlns:r="http://schemas.openxmlformats.org/officeDocument/2006/relationships" name="Bosses" sheetId="5" r:id="Ra2aded0ba1b843c5"/>
    <x:sheet xmlns:r="http://schemas.openxmlformats.org/officeDocument/2006/relationships" name="Rifts" sheetId="6" r:id="Red16f6ed6fb74944"/>
    <x:sheet xmlns:r="http://schemas.openxmlformats.org/officeDocument/2006/relationships" name="Rift Enemies" sheetId="7" r:id="R2db7a47156294e2d"/>
    <x:sheet xmlns:r="http://schemas.openxmlformats.org/officeDocument/2006/relationships" name="Enemy Mix" sheetId="8" r:id="R9f0671a6301d4f72"/>
    <x:sheet xmlns:r="http://schemas.openxmlformats.org/officeDocument/2006/relationships" name="Unlocks" sheetId="9" r:id="Radff948083a04a15"/>
    <x:sheet xmlns:r="http://schemas.openxmlformats.org/officeDocument/2006/relationships" name="Traffic" sheetId="10" r:id="R52ddf97e1f614bdd"/>
    <x:sheet xmlns:r="http://schemas.openxmlformats.org/officeDocument/2006/relationships" name="Expansion" sheetId="11" r:id="R66218f527f394d6b"/>
    <x:sheet xmlns:r="http://schemas.openxmlformats.org/officeDocument/2006/relationships" name="Mechanics" sheetId="12" r:id="R82e95a5a8067461d"/>
    <x:sheet xmlns:r="http://schemas.openxmlformats.org/officeDocument/2006/relationships" name="Developer Tuning" sheetId="13" r:id="R4f374c833ba140b0"/>
    <x:sheet xmlns:r="http://schemas.openxmlformats.org/officeDocument/2006/relationships" name="Boss Stats" sheetId="14" r:id="R243cd9b347f64f23"/>
    <x:sheet xmlns:r="http://schemas.openxmlformats.org/officeDocument/2006/relationships" name="Income Rules" sheetId="15" r:id="R8a7078101fa047b3"/>
    <x:sheet xmlns:r="http://schemas.openxmlformats.org/officeDocument/2006/relationships" name="Sources" sheetId="16" r:id="R7cfe2ee8796246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##"/>
    <x:numFmt numFmtId="201" formatCode="0"/>
    <x:numFmt numFmtId="202" formatCode="0.00"/>
    <x:numFmt numFmtId="203" formatCode="0.00E+00"/>
    <x:numFmt numFmtId="204" formatCode="#,##0"/>
    <x:numFmt numFmtId="205" formatCode="0.0%"/>
    <x:numFmt numFmtId="206" formatCode="0.000"/>
  </x:numFmts>
  <x:fonts count="7">
    <x:font>
      <x:sz val="11"/>
      <x:name val="Carlito"/>
    </x:font>
    <x:font>
      <x:sz val="11"/>
      <x:color rgb="FF1F2937"/>
      <x:name val="Arial"/>
    </x:font>
    <x:font>
      <x:b/>
      <x:sz val="16"/>
      <x:color rgb="FF1F2937"/>
      <x:name val="Arial"/>
    </x:font>
    <x:font>
      <x:sz val="10"/>
      <x:color rgb="FF475569"/>
      <x:name val="Arial"/>
    </x:font>
    <x:font>
      <x:b/>
      <x:sz val="11"/>
      <x:color rgb="FFFFFFFF"/>
      <x:name val="Arial"/>
    </x:font>
    <x:font>
      <x:b/>
      <x:sz val="12"/>
      <x:color rgb="FF334155"/>
      <x:name val="Carlito"/>
    </x:font>
    <x:font>
      <x:sz val="11"/>
      <x:color rgb="FF334155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334155"/>
      </x:patternFill>
    </x:fill>
    <x:fill>
      <x:patternFill patternType="solid">
        <x:fgColor rgb="FFEAF3F8"/>
      </x:patternFill>
    </x:fill>
    <x:fill>
      <x:patternFill patternType="solid">
        <x:fgColor rgb="FFFFFFFF"/>
      </x:patternFill>
    </x:fill>
    <x:fill>
      <x:patternFill patternType="solid">
        <x:fgColor rgb="FF334155"/>
      </x:patternFill>
    </x:fill>
  </x:fills>
  <x:borders count="1">
    <x:border/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2" fontId="1" fillId="0" borderId="0" xfId="0" applyNumberFormat="1" applyFont="1" applyFill="1" applyBorder="1"/>
    <x:xf numFmtId="205" fontId="1" fillId="0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84e56e029d46ef" /><Relationship Type="http://schemas.openxmlformats.org/officeDocument/2006/relationships/theme" Target="/xl/theme/theme1.xml" Id="Rb2168b8b178f4244" /><Relationship Type="http://schemas.openxmlformats.org/officeDocument/2006/relationships/sharedStrings" Target="/xl/sharedStrings.xml" Id="Ra0ffb42ad838455b" /><Relationship Type="http://schemas.openxmlformats.org/officeDocument/2006/relationships/worksheet" Target="/xl/worksheets/sheet1.xml" Id="R3d141ef3d47f457f" /><Relationship Type="http://schemas.openxmlformats.org/officeDocument/2006/relationships/worksheet" Target="/xl/worksheets/sheet2.xml" Id="Re5a05560da814900" /><Relationship Type="http://schemas.openxmlformats.org/officeDocument/2006/relationships/worksheet" Target="/xl/worksheets/sheet3.xml" Id="R2e8322b4307646d7" /><Relationship Type="http://schemas.openxmlformats.org/officeDocument/2006/relationships/worksheet" Target="/xl/worksheets/sheet4.xml" Id="R5f6b968288864cff" /><Relationship Type="http://schemas.openxmlformats.org/officeDocument/2006/relationships/worksheet" Target="/xl/worksheets/sheet5.xml" Id="Ra2aded0ba1b843c5" /><Relationship Type="http://schemas.openxmlformats.org/officeDocument/2006/relationships/worksheet" Target="/xl/worksheets/sheet6.xml" Id="Red16f6ed6fb74944" /><Relationship Type="http://schemas.openxmlformats.org/officeDocument/2006/relationships/worksheet" Target="/xl/worksheets/sheet7.xml" Id="R2db7a47156294e2d" /><Relationship Type="http://schemas.openxmlformats.org/officeDocument/2006/relationships/worksheet" Target="/xl/worksheets/sheet8.xml" Id="R9f0671a6301d4f72" /><Relationship Type="http://schemas.openxmlformats.org/officeDocument/2006/relationships/worksheet" Target="/xl/worksheets/sheet9.xml" Id="Radff948083a04a15" /><Relationship Type="http://schemas.openxmlformats.org/officeDocument/2006/relationships/worksheet" Target="/xl/worksheets/sheet10.xml" Id="R52ddf97e1f614bdd" /><Relationship Type="http://schemas.openxmlformats.org/officeDocument/2006/relationships/worksheet" Target="/xl/worksheets/sheet11.xml" Id="R66218f527f394d6b" /><Relationship Type="http://schemas.openxmlformats.org/officeDocument/2006/relationships/worksheet" Target="/xl/worksheets/sheet12.xml" Id="R82e95a5a8067461d" /><Relationship Type="http://schemas.openxmlformats.org/officeDocument/2006/relationships/worksheet" Target="/xl/worksheets/sheet13.xml" Id="R4f374c833ba140b0" /><Relationship Type="http://schemas.openxmlformats.org/officeDocument/2006/relationships/worksheet" Target="/xl/worksheets/sheet14.xml" Id="R243cd9b347f64f23" /><Relationship Type="http://schemas.openxmlformats.org/officeDocument/2006/relationships/worksheet" Target="/xl/worksheets/sheet15.xml" Id="R8a7078101fa047b3" /><Relationship Type="http://schemas.openxmlformats.org/officeDocument/2006/relationships/worksheet" Target="/xl/worksheets/sheet16.xml" Id="R7cfe2ee8796246b9" /></Relationships>
</file>

<file path=xl/tables/table1.xml><?xml version="1.0" encoding="utf-8"?>
<x:table xmlns:x="http://schemas.openxmlformats.org/spreadsheetml/2006/main" id="1" name="TowersStats" displayName="TowersStats" ref="A7:G27" headerRowCount="1" totalsRowCount="0" totalsRowShown="0">
  <x:autoFilter ref="A7:G27"/>
  <x:tableColumns count="7">
    <x:tableColumn id="1" name="Tower"/>
    <x:tableColumn id="2" name="Level"/>
    <x:tableColumn id="3" name="Damage per hit"/>
    <x:tableColumn id="4" name="Attack interval (s)"/>
    <x:tableColumn id="5" name="Range (units)"/>
    <x:tableColumn id="6" name="Splash radius (units)"/>
    <x:tableColumn id="7" name="Cost to reach level (gold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nemiesStats" displayName="EnemiesStats" ref="A7:E11" headerRowCount="1" totalsRowCount="0" totalsRowShown="0">
  <x:autoFilter ref="A7:E11"/>
  <x:tableColumns count="5">
    <x:tableColumn id="1" name="Enemy"/>
    <x:tableColumn id="2" name="Health (HP)"/>
    <x:tableColumn id="3" name="Damage dealt"/>
    <x:tableColumn id="4" name="Speed (units/s)"/>
    <x:tableColumn id="5" name="Defeat reward (gold)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GoldEconomyData" displayName="GoldEconomyData" ref="A7:D32" headerRowCount="1" totalsRowCount="0" totalsRowShown="0">
  <x:tableColumns count="4">
    <x:tableColumn id="1" name="Parameter"/>
    <x:tableColumn id="2" name="Value"/>
    <x:tableColumn id="3" name="Unit"/>
    <x:tableColumn id="4" name="Ru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owerEconomyData" displayName="TowerEconomyData" ref="A7:I27" headerRowCount="1" totalsRowCount="0" totalsRowShown="0">
  <x:tableColumns count="9">
    <x:tableColumn id="1" name="Tower"/>
    <x:tableColumn id="2" name="Level"/>
    <x:tableColumn id="3" name="Step cost (gold)"/>
    <x:tableColumn id="4" name="Invested (gold)"/>
    <x:tableColumn id="5" name="Sell refund (gold)"/>
    <x:tableColumn id="6" name="Move cost (gold)"/>
    <x:tableColumn id="7" name="Rebuild (s)"/>
    <x:tableColumn id="8" name="Direct DPS"/>
    <x:tableColumn id="9" name="Primary target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ossesData" displayName="BossesData" ref="A7:F12" headerRowCount="1" totalsRowCount="0" totalsRowShown="0">
  <x:tableColumns count="6">
    <x:tableColumn id="1" name="Boss / escort"/>
    <x:tableColumn id="2" name="Health (HP)"/>
    <x:tableColumn id="3" name="Speed (units/s)"/>
    <x:tableColumn id="4" name="Gold per defeat"/>
    <x:tableColumn id="5" name="Damage dealt"/>
    <x:tableColumn id="6" name="Counter / reward 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iftsData" displayName="RiftsData" ref="A7:F11" headerRowCount="1" totalsRowCount="0" totalsRowShown="0">
  <x:tableColumns count="6">
    <x:tableColumn id="1" name="Portal"/>
    <x:tableColumn id="2" name="Biome ID"/>
    <x:tableColumn id="3" name="HP bonus"/>
    <x:tableColumn id="4" name="Speed bonus"/>
    <x:tableColumn id="5" name="Regen / second"/>
    <x:tableColumn id="6" name="Effect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iftEnemiesData" displayName="RiftEnemiesData" ref="A7:F23" headerRowCount="1" totalsRowCount="0" totalsRowShown="0">
  <x:tableColumns count="6">
    <x:tableColumn id="1" name="Portal"/>
    <x:tableColumn id="2" name="Enemy"/>
    <x:tableColumn id="3" name="Max HP"/>
    <x:tableColumn id="4" name="Speed (units/s)"/>
    <x:tableColumn id="5" name="Regen (HP/s)"/>
    <x:tableColumn id="6" name="Gold per defea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EnemyMixData" displayName="EnemyMixData" ref="A7:G15" headerRowCount="1" totalsRowCount="0" totalsRowShown="0">
  <x:tableColumns count="7">
    <x:tableColumn id="1" name="Unlocked enemies"/>
    <x:tableColumn id="2" name="Unlock spend (gold)"/>
    <x:tableColumn id="3" name="Hollow share"/>
    <x:tableColumn id="4" name="Wraith share"/>
    <x:tableColumn id="5" name="Revenant share"/>
    <x:tableColumn id="6" name="Keeper share"/>
    <x:tableColumn id="7" name="Gold / spaw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UnlocksData" displayName="UnlocksData" ref="A7:D11" headerRowCount="1" totalsRowCount="0" totalsRowShown="0">
  <x:tableColumns count="4">
    <x:tableColumn id="1" name="Enemy"/>
    <x:tableColumn id="2" name="Price (gold)"/>
    <x:tableColumn id="3" name="Share once unlocked"/>
    <x:tableColumn id="4" name="Rul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TrafficData" displayName="TrafficData" ref="A7:G20" headerRowCount="1" totalsRowCount="0" totalsRowShown="0">
  <x:tableColumns count="7">
    <x:tableColumn id="1" name="Level"/>
    <x:tableColumn id="2" name="Interval (s)"/>
    <x:tableColumn id="3" name="Spawns / min"/>
    <x:tableColumn id="4" name="Next upgrade (gold)"/>
    <x:tableColumn id="5" name="Spent to level (gold)"/>
    <x:tableColumn id="6" name="Hollow gold/min"/>
    <x:tableColumn id="7" name="All unlocks gold/mi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ExpansionData" displayName="ExpansionData" ref="A7:C107" headerRowCount="1" totalsRowCount="0" totalsRowShown="0">
  <x:tableColumns count="3">
    <x:tableColumn id="1" name="Owned regions before"/>
    <x:tableColumn id="2" name="Next purchase (gold)"/>
    <x:tableColumn id="3" name="Total expansion spend (gold)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MechanicsData" displayName="MechanicsData" ref="A7:E56" headerRowCount="1" totalsRowCount="0" totalsRowShown="0">
  <x:tableColumns count="5">
    <x:tableColumn id="1" name="Entity"/>
    <x:tableColumn id="2" name="Stat"/>
    <x:tableColumn id="3" name="Value"/>
    <x:tableColumn id="4" name="Unit"/>
    <x:tableColumn id="5" name="Rul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DeveloperTuningData" displayName="DeveloperTuningData" ref="A7:G36" headerRowCount="1" totalsRowCount="0" totalsRowShown="0">
  <x:tableColumns count="7">
    <x:tableColumn id="1" name="Category"/>
    <x:tableColumn id="2" name="Field"/>
    <x:tableColumn id="3" name="Minimum"/>
    <x:tableColumn id="4" name="Maximum"/>
    <x:tableColumn id="5" name="Step"/>
    <x:tableColumn id="6" name="Unit"/>
    <x:tableColumn id="7" name="Value type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BossStatsData" displayName="BossStatsData" ref="A7:D38" headerRowCount="1" totalsRowCount="0" totalsRowShown="0">
  <x:tableColumns count="4">
    <x:tableColumn id="1" name="Boss"/>
    <x:tableColumn id="2" name="Field"/>
    <x:tableColumn id="3" name="Default value"/>
    <x:tableColumn id="4" name="Unit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IncomeRulesData" displayName="IncomeRulesData" ref="A7:C24" headerRowCount="1" totalsRowCount="0" totalsRowShown="0">
  <x:tableColumns count="3">
    <x:tableColumn id="1" name="Event"/>
    <x:tableColumn id="2" name="Gold / calculation"/>
    <x:tableColumn id="3" name="Behavior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SourcesData" displayName="SourcesData" ref="A7:C15" headerRowCount="1" totalsRowCount="0" totalsRowShown="0">
  <x:tableColumns count="3">
    <x:tableColumn id="1" name="Source file"/>
    <x:tableColumn id="2" name="Coverage"/>
    <x:tableColumn id="3" name="SHA-256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8a42f50ebe2439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2342c3960df4fd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41432d514324a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0c8e3bb3ba74ea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abb0fae0261453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4d72b7c8db7487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f1dc163f8c48441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5cd5fa06b4454ea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eb3a38abf0fc425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566e8f6593e84c1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421b787c83a54b9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3c07e33b933948b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c45dd9a22d404937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d023fe34abed482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458ab58cb78f481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05cbf760785b4886" /></Relationships>
</file>

<file path=xl/worksheets/sheet1.xml><?xml version="1.0" encoding="utf-8"?>
<x:worksheet xmlns:x="http://schemas.openxmlformats.org/spreadsheetml/2006/main">
  <x:sheetViews>
    <x:sheetView workbookViewId="0">
      <x:pane ySplit="7" topLeftCell="A8" activePane="bottomLeft" state="frozen"/>
    </x:sheetView>
  </x:sheetViews>
  <x:sheetFormatPr defaultRowHeight="15"/>
  <x:cols>
    <x:col min="1" max="1" width="22" hidden="0" customWidth="1"/>
    <x:col min="2" max="2" width="10" hidden="0" customWidth="1"/>
    <x:col min="3" max="3" width="19" hidden="0" customWidth="1"/>
    <x:col min="4" max="4" width="21" hidden="0" customWidth="1"/>
    <x:col min="5" max="5" width="19" hidden="0" customWidth="1"/>
    <x:col min="6" max="6" width="23" hidden="0" customWidth="1"/>
    <x:col min="7" max="7" width="25" hidden="0" customWidth="1"/>
  </x:cols>
  <x:sheetData>
    <x:row r="1">
      <x:c r="A1" s="2" t="str">
        <x:v>Towers balance reference</x:v>
      </x:c>
      <x:c r="B1" s="1"/>
      <x:c r="C1" s="1"/>
      <x:c r="D1" s="1"/>
      <x:c r="E1" s="1"/>
      <x:c r="F1" s="1"/>
      <x:c r="G1" s="1"/>
    </x:row>
    <x:row r="2">
      <x:c r="A2" s="3" t="str">
        <x:v>Default game balance, September 5, 2026. Save-specific developer overrides are excluded.</x:v>
      </x:c>
      <x:c r="B2" s="3"/>
      <x:c r="C2" s="3"/>
      <x:c r="D2" s="3"/>
      <x:c r="E2" s="3"/>
      <x:c r="F2" s="3"/>
      <x:c r="G2" s="3"/>
    </x:row>
    <x:row r="3">
      <x:c r="A3" s="3" t="str">
        <x:v>Source: balance.gd, TOWERS, TOWER_UPGRADES and BRANCHES; combat.gd, branch effects.</x:v>
      </x:c>
      <x:c r="B3" s="3"/>
      <x:c r="C3" s="3"/>
      <x:c r="D3" s="3"/>
      <x:c r="E3" s="3"/>
      <x:c r="F3" s="3"/>
      <x:c r="G3" s="3"/>
    </x:row>
    <x:row r="4">
      <x:c r="A4" s="3" t="str">
        <x:v>Cost is this purchase or upgrade only; cumulative cost, refunds and moving costs are on Tower Economy.</x:v>
      </x:c>
      <x:c r="B4" s="3"/>
      <x:c r="C4" s="3"/>
      <x:c r="D4" s="3"/>
      <x:c r="E4" s="3"/>
      <x:c r="F4" s="3"/>
      <x:c r="G4" s="3"/>
    </x:row>
    <x:row r="5">
      <x:c r="A5" s="3" t="str">
        <x:v>Level 4 requires one permanent branch. Damage excludes conditional effects; see rules below and Mechanics.</x:v>
      </x:c>
      <x:c r="B5" s="3"/>
      <x:c r="C5" s="3"/>
      <x:c r="D5" s="3"/>
      <x:c r="E5" s="3"/>
      <x:c r="F5" s="3"/>
      <x:c r="G5" s="3"/>
    </x:row>
    <x:row r="6">
      <x:c r="A6" s="1"/>
      <x:c r="B6" s="1"/>
      <x:c r="C6" s="1"/>
      <x:c r="D6" s="1"/>
      <x:c r="E6" s="1"/>
      <x:c r="F6" s="1"/>
      <x:c r="G6" s="1"/>
    </x:row>
    <x:row r="7" ht="36" customHeight="1">
      <x:c r="A7" s="6" t="str">
        <x:v>Tower</x:v>
      </x:c>
      <x:c r="B7" s="6" t="str">
        <x:v>Level</x:v>
      </x:c>
      <x:c r="C7" s="6" t="str">
        <x:v>Damage per hit</x:v>
      </x:c>
      <x:c r="D7" s="6" t="str">
        <x:v>Attack interval (s)</x:v>
      </x:c>
      <x:c r="E7" s="6" t="str">
        <x:v>Range (units)</x:v>
      </x:c>
      <x:c r="F7" s="6" t="str">
        <x:v>Splash radius (units)</x:v>
      </x:c>
      <x:c r="G7" s="6" t="str">
        <x:v>Cost to reach level (gold)</x:v>
      </x:c>
    </x:row>
    <x:row r="8" ht="25" customHeight="1">
      <x:c r="A8" s="1" t="str">
        <x:v>Ashneedle</x:v>
      </x:c>
      <x:c r="B8" s="7" t="n">
        <x:v>1</x:v>
      </x:c>
      <x:c r="C8" s="7" t="n">
        <x:v>6</x:v>
      </x:c>
      <x:c r="D8" s="7" t="n">
        <x:v>0.48</x:v>
      </x:c>
      <x:c r="E8" s="7" t="n">
        <x:v>132</x:v>
      </x:c>
      <x:c r="F8" s="7" t="n">
        <x:v>0</x:v>
      </x:c>
      <x:c r="G8" s="7" t="n">
        <x:v>60</x:v>
      </x:c>
    </x:row>
    <x:row r="9" ht="25" customHeight="1">
      <x:c r="A9" s="1" t="str">
        <x:v>Ashneedle</x:v>
      </x:c>
      <x:c r="B9" s="7" t="n">
        <x:v>2</x:v>
      </x:c>
      <x:c r="C9" s="7" t="n">
        <x:v>10</x:v>
      </x:c>
      <x:c r="D9" s="7" t="n">
        <x:v>0.4</x:v>
      </x:c>
      <x:c r="E9" s="7" t="n">
        <x:v>146</x:v>
      </x:c>
      <x:c r="F9" s="7" t="n">
        <x:v>0</x:v>
      </x:c>
      <x:c r="G9" s="7" t="n">
        <x:v>60</x:v>
      </x:c>
    </x:row>
    <x:row r="10" ht="25" customHeight="1">
      <x:c r="A10" s="1" t="str">
        <x:v>Ashneedle</x:v>
      </x:c>
      <x:c r="B10" s="7" t="n">
        <x:v>3</x:v>
      </x:c>
      <x:c r="C10" s="7" t="n">
        <x:v>15</x:v>
      </x:c>
      <x:c r="D10" s="7" t="n">
        <x:v>0.3</x:v>
      </x:c>
      <x:c r="E10" s="7" t="n">
        <x:v>160</x:v>
      </x:c>
      <x:c r="F10" s="7" t="n">
        <x:v>0</x:v>
      </x:c>
      <x:c r="G10" s="7" t="n">
        <x:v>100</x:v>
      </x:c>
    </x:row>
    <x:row r="11" ht="25" customHeight="1">
      <x:c r="A11" s="1" t="str">
        <x:v>Pyre</x:v>
      </x:c>
      <x:c r="B11" s="7" t="n">
        <x:v>1</x:v>
      </x:c>
      <x:c r="C11" s="7" t="n">
        <x:v>15</x:v>
      </x:c>
      <x:c r="D11" s="7" t="n">
        <x:v>1.5</x:v>
      </x:c>
      <x:c r="E11" s="7" t="n">
        <x:v>126</x:v>
      </x:c>
      <x:c r="F11" s="7" t="n">
        <x:v>46</x:v>
      </x:c>
      <x:c r="G11" s="7" t="n">
        <x:v>120</x:v>
      </x:c>
    </x:row>
    <x:row r="12" ht="25" customHeight="1">
      <x:c r="A12" s="1" t="str">
        <x:v>Pyre</x:v>
      </x:c>
      <x:c r="B12" s="7" t="n">
        <x:v>2</x:v>
      </x:c>
      <x:c r="C12" s="7" t="n">
        <x:v>24</x:v>
      </x:c>
      <x:c r="D12" s="7" t="n">
        <x:v>1.3</x:v>
      </x:c>
      <x:c r="E12" s="7" t="n">
        <x:v>140</x:v>
      </x:c>
      <x:c r="F12" s="7" t="n">
        <x:v>56</x:v>
      </x:c>
      <x:c r="G12" s="7" t="n">
        <x:v>120</x:v>
      </x:c>
    </x:row>
    <x:row r="13" ht="25" customHeight="1">
      <x:c r="A13" s="1" t="str">
        <x:v>Pyre</x:v>
      </x:c>
      <x:c r="B13" s="7" t="n">
        <x:v>3</x:v>
      </x:c>
      <x:c r="C13" s="7" t="n">
        <x:v>36</x:v>
      </x:c>
      <x:c r="D13" s="7" t="n">
        <x:v>1.1</x:v>
      </x:c>
      <x:c r="E13" s="7" t="n">
        <x:v>154</x:v>
      </x:c>
      <x:c r="F13" s="7" t="n">
        <x:v>66</x:v>
      </x:c>
      <x:c r="G13" s="7" t="n">
        <x:v>200</x:v>
      </x:c>
    </x:row>
    <x:row r="14" ht="25" customHeight="1">
      <x:c r="A14" s="1" t="str">
        <x:v>Obelisk</x:v>
      </x:c>
      <x:c r="B14" s="7" t="n">
        <x:v>1</x:v>
      </x:c>
      <x:c r="C14" s="7" t="n">
        <x:v>40</x:v>
      </x:c>
      <x:c r="D14" s="7" t="n">
        <x:v>1.8</x:v>
      </x:c>
      <x:c r="E14" s="7" t="n">
        <x:v>157</x:v>
      </x:c>
      <x:c r="F14" s="7" t="n">
        <x:v>0</x:v>
      </x:c>
      <x:c r="G14" s="7" t="n">
        <x:v>160</x:v>
      </x:c>
    </x:row>
    <x:row r="15" ht="25" customHeight="1">
      <x:c r="A15" s="1" t="str">
        <x:v>Obelisk</x:v>
      </x:c>
      <x:c r="B15" s="7" t="n">
        <x:v>2</x:v>
      </x:c>
      <x:c r="C15" s="7" t="n">
        <x:v>60</x:v>
      </x:c>
      <x:c r="D15" s="7" t="n">
        <x:v>1.35</x:v>
      </x:c>
      <x:c r="E15" s="7" t="n">
        <x:v>173</x:v>
      </x:c>
      <x:c r="F15" s="7" t="n">
        <x:v>0</x:v>
      </x:c>
      <x:c r="G15" s="7" t="n">
        <x:v>140</x:v>
      </x:c>
    </x:row>
    <x:row r="16" ht="25" customHeight="1">
      <x:c r="A16" s="1" t="str">
        <x:v>Obelisk</x:v>
      </x:c>
      <x:c r="B16" s="7" t="n">
        <x:v>3</x:v>
      </x:c>
      <x:c r="C16" s="7" t="n">
        <x:v>90</x:v>
      </x:c>
      <x:c r="D16" s="7" t="n">
        <x:v>0.9</x:v>
      </x:c>
      <x:c r="E16" s="7" t="n">
        <x:v>189</x:v>
      </x:c>
      <x:c r="F16" s="7" t="n">
        <x:v>0</x:v>
      </x:c>
      <x:c r="G16" s="7" t="n">
        <x:v>220</x:v>
      </x:c>
    </x:row>
    <x:row r="17">
      <x:c r="A17" t="str">
        <x:v>Stormspire</x:v>
      </x:c>
      <x:c r="B17" t="n">
        <x:v>1</x:v>
      </x:c>
      <x:c r="C17" t="n">
        <x:v>3</x:v>
      </x:c>
      <x:c r="D17" t="n">
        <x:v>0.4</x:v>
      </x:c>
      <x:c r="E17" t="n">
        <x:v>145</x:v>
      </x:c>
      <x:c r="F17" t="n">
        <x:v>0</x:v>
      </x:c>
      <x:c r="G17" t="n">
        <x:v>140</x:v>
      </x:c>
    </x:row>
    <x:row r="18">
      <x:c r="A18" t="str">
        <x:v>Stormspire</x:v>
      </x:c>
      <x:c r="B18" t="n">
        <x:v>2</x:v>
      </x:c>
      <x:c r="C18" t="n">
        <x:v>5</x:v>
      </x:c>
      <x:c r="D18" t="n">
        <x:v>0.35</x:v>
      </x:c>
      <x:c r="E18" t="n">
        <x:v>159</x:v>
      </x:c>
      <x:c r="F18" t="n">
        <x:v>0</x:v>
      </x:c>
      <x:c r="G18" t="n">
        <x:v>120</x:v>
      </x:c>
    </x:row>
    <x:row r="19">
      <x:c r="A19" t="str">
        <x:v>Stormspire</x:v>
      </x:c>
      <x:c r="B19" t="n">
        <x:v>3</x:v>
      </x:c>
      <x:c r="C19" t="n">
        <x:v>7</x:v>
      </x:c>
      <x:c r="D19" t="n">
        <x:v>0.3</x:v>
      </x:c>
      <x:c r="E19" t="n">
        <x:v>173</x:v>
      </x:c>
      <x:c r="F19" t="n">
        <x:v>0</x:v>
      </x:c>
      <x:c r="G19" t="n">
        <x:v>200</x:v>
      </x:c>
    </x:row>
    <x:row r="20" ht="34" customHeight="1">
      <x:c r="A20" s="8" t="str">
        <x:v>Frostneedle</x:v>
      </x:c>
      <x:c r="B20" s="9" t="n">
        <x:v>4</x:v>
      </x:c>
      <x:c r="C20" s="9" t="n">
        <x:v>15</x:v>
      </x:c>
      <x:c r="D20" s="10" t="n">
        <x:v>0.3</x:v>
      </x:c>
      <x:c r="E20" s="9" t="n">
        <x:v>160</x:v>
      </x:c>
      <x:c r="F20" s="9" t="n">
        <x:v>0</x:v>
      </x:c>
      <x:c r="G20" s="9" t="n">
        <x:v>180</x:v>
      </x:c>
    </x:row>
    <x:row r="21" ht="34" customHeight="1">
      <x:c r="A21" s="8" t="str">
        <x:v>Thorn Volley</x:v>
      </x:c>
      <x:c r="B21" s="9" t="n">
        <x:v>4</x:v>
      </x:c>
      <x:c r="C21" s="9" t="n">
        <x:v>15</x:v>
      </x:c>
      <x:c r="D21" s="10" t="n">
        <x:v>0.3</x:v>
      </x:c>
      <x:c r="E21" s="9" t="n">
        <x:v>160</x:v>
      </x:c>
      <x:c r="F21" s="9" t="n">
        <x:v>0</x:v>
      </x:c>
      <x:c r="G21" s="9" t="n">
        <x:v>180</x:v>
      </x:c>
    </x:row>
    <x:row r="22" ht="34" customHeight="1">
      <x:c r="A22" s="8" t="str">
        <x:v>Cinderfield</x:v>
      </x:c>
      <x:c r="B22" s="9" t="n">
        <x:v>4</x:v>
      </x:c>
      <x:c r="C22" s="9" t="n">
        <x:v>27</x:v>
      </x:c>
      <x:c r="D22" s="10" t="n">
        <x:v>1.1</x:v>
      </x:c>
      <x:c r="E22" s="9" t="n">
        <x:v>154</x:v>
      </x:c>
      <x:c r="F22" s="9" t="n">
        <x:v>66</x:v>
      </x:c>
      <x:c r="G22" s="9" t="n">
        <x:v>320</x:v>
      </x:c>
    </x:row>
    <x:row r="23" ht="34" customHeight="1">
      <x:c r="A23" s="8" t="str">
        <x:v>Rupture Pyre</x:v>
      </x:c>
      <x:c r="B23" s="9" t="n">
        <x:v>4</x:v>
      </x:c>
      <x:c r="C23" s="9" t="n">
        <x:v>54</x:v>
      </x:c>
      <x:c r="D23" s="10" t="n">
        <x:v>1.5</x:v>
      </x:c>
      <x:c r="E23" s="9" t="n">
        <x:v>154</x:v>
      </x:c>
      <x:c r="F23" s="9" t="n">
        <x:v>66</x:v>
      </x:c>
      <x:c r="G23" s="9" t="n">
        <x:v>320</x:v>
      </x:c>
    </x:row>
    <x:row r="24" ht="34" customHeight="1">
      <x:c r="A24" s="8" t="str">
        <x:v>Grave Echo</x:v>
      </x:c>
      <x:c r="B24" s="9" t="n">
        <x:v>4</x:v>
      </x:c>
      <x:c r="C24" s="9" t="n">
        <x:v>110</x:v>
      </x:c>
      <x:c r="D24" s="10" t="n">
        <x:v>0.9</x:v>
      </x:c>
      <x:c r="E24" s="9" t="n">
        <x:v>189</x:v>
      </x:c>
      <x:c r="F24" s="9" t="n">
        <x:v>0</x:v>
      </x:c>
      <x:c r="G24" s="9" t="n">
        <x:v>360</x:v>
      </x:c>
    </x:row>
    <x:row r="25" ht="34" customHeight="1">
      <x:c r="A25" s="8" t="str">
        <x:v>Doomstone</x:v>
      </x:c>
      <x:c r="B25" s="9" t="n">
        <x:v>4</x:v>
      </x:c>
      <x:c r="C25" s="9" t="n">
        <x:v>90</x:v>
      </x:c>
      <x:c r="D25" s="10" t="n">
        <x:v>0.9</x:v>
      </x:c>
      <x:c r="E25" s="9" t="n">
        <x:v>189</x:v>
      </x:c>
      <x:c r="F25" s="9" t="n">
        <x:v>0</x:v>
      </x:c>
      <x:c r="G25" s="9" t="n">
        <x:v>360</x:v>
      </x:c>
    </x:row>
    <x:row r="26" ht="34" customHeight="1">
      <x:c r="A26" s="8" t="str">
        <x:v>Tempest Web</x:v>
      </x:c>
      <x:c r="B26" s="9" t="n">
        <x:v>4</x:v>
      </x:c>
      <x:c r="C26" s="9" t="n">
        <x:v>7</x:v>
      </x:c>
      <x:c r="D26" s="10" t="n">
        <x:v>0.3</x:v>
      </x:c>
      <x:c r="E26" s="9" t="n">
        <x:v>173</x:v>
      </x:c>
      <x:c r="F26" s="9" t="n">
        <x:v>0</x:v>
      </x:c>
      <x:c r="G26" s="9" t="n">
        <x:v>300</x:v>
      </x:c>
    </x:row>
    <x:row r="27" ht="34" customHeight="1">
      <x:c r="A27" s="8" t="str">
        <x:v>Thunderseal</x:v>
      </x:c>
      <x:c r="B27" s="9" t="n">
        <x:v>4</x:v>
      </x:c>
      <x:c r="C27" s="9" t="n">
        <x:v>7</x:v>
      </x:c>
      <x:c r="D27" s="10" t="n">
        <x:v>0.3</x:v>
      </x:c>
      <x:c r="E27" s="9" t="n">
        <x:v>173</x:v>
      </x:c>
      <x:c r="F27" s="9" t="n">
        <x:v>0</x:v>
      </x:c>
      <x:c r="G27" s="9" t="n">
        <x:v>300</x:v>
      </x:c>
    </x:row>
    <x:row r="29">
      <x:c r="A29" s="11" t="str">
        <x:v>Level 4 effect rules</x:v>
      </x:c>
      <x:c r="B29" s="11"/>
      <x:c r="C29" s="11"/>
      <x:c r="D29" s="11"/>
      <x:c r="E29" s="11"/>
      <x:c r="F29" s="11"/>
      <x:c r="G29" s="11"/>
    </x:row>
    <x:row r="30" ht="55" customHeight="1">
      <x:c r="A30" s="15" t="str">
        <x:v>Frostneedle</x:v>
      </x:c>
      <x:c r="B30" s="15" t="str">
        <x:v>Ashneedle branch. Hits slow movement 25% for 2 seconds. Further hits refresh duration, never stack the reduction. Icy blue body and crystal crown.</x:v>
      </x:c>
      <x:c r="C30" s="15"/>
      <x:c r="D30" s="15"/>
      <x:c r="E30" s="15"/>
      <x:c r="F30" s="15"/>
      <x:c r="G30" s="15"/>
    </x:row>
    <x:row r="31" ht="55" customHeight="1">
      <x:c r="A31" s="19" t="str">
        <x:v>Thorn Volley</x:v>
      </x:c>
      <x:c r="B31" s="19" t="str">
        <x:v>Ashneedle branch. Five 15-damage arrows: center tracks the target; outer angles are -27.5°, -13.8°, +13.8°, +27.5°. Outer arrows travel straight, can miss, and hit the first enemy encountered. Five-pronged green launcher.</x:v>
      </x:c>
      <x:c r="C31" s="19"/>
      <x:c r="D31" s="19"/>
      <x:c r="E31" s="19"/>
      <x:c r="F31" s="19"/>
      <x:c r="G31" s="19"/>
    </x:row>
    <x:row r="32" ht="55" customHeight="1">
      <x:c r="A32" s="15" t="str">
        <x:v>Cinderfield</x:v>
      </x:c>
      <x:c r="B32" s="15" t="str">
        <x:v>Pyre branch. Each 27-damage blast leaves fire for 3 seconds at 12 damage per second. Overlapping patches from the same tower refresh and cannot stack damage on an enemy. Cracked ember basin and glowing scorch marks.</x:v>
      </x:c>
      <x:c r="C32" s="15"/>
      <x:c r="D32" s="15"/>
      <x:c r="E32" s="15"/>
      <x:c r="F32" s="15"/>
      <x:c r="G32" s="15"/>
    </x:row>
    <x:row r="33" ht="55" customHeight="1">
      <x:c r="A33" s="19" t="str">
        <x:v>Rupture Pyre</x:v>
      </x:c>
      <x:c r="B33" s="19" t="str">
        <x:v>Pyre branch. 54 damage every 1.5 seconds. Pushes enemies backward 20 units along their road, or 5 units for Revenants. Push immunity lasts 1 second. Reinforced brazier and orange shockwaves.</x:v>
      </x:c>
      <x:c r="C33" s="19"/>
      <x:c r="D33" s="19"/>
      <x:c r="E33" s="19"/>
      <x:c r="F33" s="19"/>
      <x:c r="G33" s="19"/>
    </x:row>
    <x:row r="34" ht="55" customHeight="1">
      <x:c r="A34" s="15" t="str">
        <x:v>Grave Echo</x:v>
      </x:c>
      <x:c r="B34" s="15" t="str">
        <x:v>Obelisk branch. 110-damage orb creates up to five seeking fragments at 22 damage each. Distinct enemies within 90 units of impact; excludes the original target. Unused fragments fade. Fractured violet crystal and curved shard trails.</x:v>
      </x:c>
      <x:c r="C34" s="15"/>
      <x:c r="D34" s="15"/>
      <x:c r="E34" s="15"/>
      <x:c r="F34" s="15"/>
      <x:c r="G34" s="15"/>
    </x:row>
    <x:row r="35" ht="55" customHeight="1">
      <x:c r="A35" s="19" t="str">
        <x:v>Doomstone</x:v>
      </x:c>
      <x:c r="B35" s="19" t="str">
        <x:v>Obelisk branch. First hit deals 90. Consecutive hits add 20% of base damage per stack, capped at five stacks and 180 damage. Switching targets resets this tower’s buildup. Dark floating monolith and brightening curse symbols.</x:v>
      </x:c>
      <x:c r="C35" s="19"/>
      <x:c r="D35" s="19"/>
      <x:c r="E35" s="19"/>
      <x:c r="F35" s="19"/>
      <x:c r="G35" s="19"/>
    </x:row>
    <x:row r="36" ht="55" customHeight="1">
      <x:c r="A36" s="15" t="str">
        <x:v>Tempest Web</x:v>
      </x:c>
      <x:c r="B36" s="15" t="str">
        <x:v>Stormspire branch. Up to five primary hits at 7 damage. Each can arc within 60 units to one distinct additional enemy for 3.5 damage; primary targets are excluded from arcs. Arcs can exceed 173-unit tower range. Branching metal crown.</x:v>
      </x:c>
      <x:c r="C36" s="15"/>
      <x:c r="D36" s="15"/>
      <x:c r="E36" s="15"/>
      <x:c r="F36" s="15"/>
      <x:c r="G36" s="15"/>
    </x:row>
    <x:row r="37" ht="55" customHeight="1">
      <x:c r="A37" s="19" t="str">
        <x:v>Thunderseal</x:v>
      </x:c>
      <x:c r="B37" s="19" t="str">
        <x:v>Stormspire branch. Up to five primary targets. Every fifth hit per tower and enemy adds 21 bonus damage and resets charges. Stuns for 0.4 seconds with 2-second stun immunity. Suspended storm rings and charge symbols.</x:v>
      </x:c>
      <x:c r="C37" s="19"/>
      <x:c r="D37" s="19"/>
      <x:c r="E37" s="19"/>
      <x:c r="F37" s="19"/>
      <x:c r="G37" s="19"/>
    </x:row>
  </x:sheetData>
  <x:mergeCells>
    <x:mergeCell ref="B30:G30"/>
    <x:mergeCell ref="B31:G31"/>
    <x:mergeCell ref="B32:G32"/>
    <x:mergeCell ref="B33:G33"/>
    <x:mergeCell ref="B34:G34"/>
    <x:mergeCell ref="B35:G35"/>
    <x:mergeCell ref="B36:G36"/>
    <x:mergeCell ref="B37:G37"/>
  </x:mergeCells>
  <x:pageMargins left="0.7" right="0.7" top="0.75" bottom="0.75" header="0.3" footer="0.3"/>
  <x:tableParts count="1">
    <x:tablePart xmlns:r="http://schemas.openxmlformats.org/officeDocument/2006/relationships" r:id="R28a42f50ebe2439b"/>
  </x:tableParts>
</x:worksheet>
</file>

<file path=xl/worksheets/sheet2.xml><?xml version="1.0" encoding="utf-8"?>
<x:worksheet xmlns:x="http://schemas.openxmlformats.org/spreadsheetml/2006/main">
  <x:sheetViews>
    <x:sheetView workbookViewId="0">
      <x:pane ySplit="7" topLeftCell="A8" activePane="bottomLeft" state="frozen"/>
    </x:sheetView>
  </x:sheetViews>
  <x:sheetFormatPr defaultRowHeight="15"/>
  <x:cols>
    <x:col min="1" max="1" width="23" hidden="0" customWidth="1"/>
    <x:col min="2" max="2" width="22" hidden="0" customWidth="1"/>
    <x:col min="3" max="3" width="23" hidden="0" customWidth="1"/>
    <x:col min="4" max="4" width="27" hidden="0" customWidth="1"/>
    <x:col min="5" max="5" width="35" hidden="0" customWidth="1"/>
  </x:cols>
  <x:sheetData>
    <x:row r="1">
      <x:c r="A1" s="2" t="str">
        <x:v>Enemies balance reference</x:v>
      </x:c>
      <x:c r="B1" s="1"/>
      <x:c r="C1" s="1"/>
      <x:c r="D1" s="1"/>
      <x:c r="E1" s="1"/>
    </x:row>
    <x:row r="2">
      <x:c r="A2" s="3" t="str">
        <x:v>Default game balance, September 5, 2026. Save-specific developer overrides are excluded.</x:v>
      </x:c>
      <x:c r="B2" s="3"/>
      <x:c r="C2" s="3"/>
      <x:c r="D2" s="3"/>
      <x:c r="E2" s="3"/>
    </x:row>
    <x:row r="3">
      <x:c r="A3" s="3" t="str">
        <x:v>Source: balance.gd, ENEMIES; combat.gd, enemy movement and escape handling.</x:v>
      </x:c>
      <x:c r="B3" s="3"/>
      <x:c r="C3" s="3"/>
      <x:c r="D3" s="3"/>
      <x:c r="E3" s="3"/>
    </x:row>
    <x:row r="4">
      <x:c r="A4" s="3" t="str">
        <x:v>Damage is 0 because enemies do not attack. Reaching the core increases the escape count only.</x:v>
      </x:c>
      <x:c r="B4" s="3"/>
      <x:c r="C4" s="3"/>
      <x:c r="D4" s="3"/>
      <x:c r="E4" s="3"/>
    </x:row>
    <x:row r="5">
      <x:c r="A5" s="3" t="str">
        <x:v>Bosses and escorts are on Bosses. Rift Enemies shows modified stats. This workbook does not edit the game.</x:v>
      </x:c>
      <x:c r="B5" s="3"/>
      <x:c r="C5" s="3"/>
      <x:c r="D5" s="3"/>
      <x:c r="E5" s="3"/>
    </x:row>
    <x:row r="6">
      <x:c r="A6" s="1"/>
      <x:c r="B6" s="1"/>
      <x:c r="C6" s="1"/>
      <x:c r="D6" s="1"/>
      <x:c r="E6" s="1"/>
    </x:row>
    <x:row r="7" ht="36" customHeight="1">
      <x:c r="A7" s="6" t="str">
        <x:v>Enemy</x:v>
      </x:c>
      <x:c r="B7" s="6" t="str">
        <x:v>Health (HP)</x:v>
      </x:c>
      <x:c r="C7" s="6" t="str">
        <x:v>Damage dealt</x:v>
      </x:c>
      <x:c r="D7" s="6" t="str">
        <x:v>Speed (units/s)</x:v>
      </x:c>
      <x:c r="E7" s="6" t="str">
        <x:v>Defeat reward (gold)</x:v>
      </x:c>
    </x:row>
    <x:row r="8" ht="25" customHeight="1">
      <x:c r="A8" s="1" t="str">
        <x:v>Hollow</x:v>
      </x:c>
      <x:c r="B8" s="7" t="n">
        <x:v>45</x:v>
      </x:c>
      <x:c r="C8" s="7" t="n">
        <x:v>0</x:v>
      </x:c>
      <x:c r="D8" s="7" t="n">
        <x:v>39</x:v>
      </x:c>
      <x:c r="E8" s="7" t="n">
        <x:v>5</x:v>
      </x:c>
    </x:row>
    <x:row r="9" ht="25" customHeight="1">
      <x:c r="A9" s="1" t="str">
        <x:v>Wraith</x:v>
      </x:c>
      <x:c r="B9" s="7" t="n">
        <x:v>36</x:v>
      </x:c>
      <x:c r="C9" s="7" t="n">
        <x:v>0</x:v>
      </x:c>
      <x:c r="D9" s="7" t="n">
        <x:v>74</x:v>
      </x:c>
      <x:c r="E9" s="7" t="n">
        <x:v>8</x:v>
      </x:c>
    </x:row>
    <x:row r="10" ht="25" customHeight="1">
      <x:c r="A10" s="1" t="str">
        <x:v>Revenant</x:v>
      </x:c>
      <x:c r="B10" s="7" t="n">
        <x:v>340</x:v>
      </x:c>
      <x:c r="C10" s="7" t="n">
        <x:v>0</x:v>
      </x:c>
      <x:c r="D10" s="7" t="n">
        <x:v>25</x:v>
      </x:c>
      <x:c r="E10" s="7" t="n">
        <x:v>24</x:v>
      </x:c>
    </x:row>
    <x:row r="11" ht="33" customHeight="1">
      <x:c r="A11" t="str">
        <x:v>Lantern Keeper</x:v>
      </x:c>
      <x:c r="B11" t="n">
        <x:v>120</x:v>
      </x:c>
      <x:c r="C11" t="n">
        <x:v>0</x:v>
      </x:c>
      <x:c r="D11" t="n">
        <x:v>46</x:v>
      </x:c>
      <x:c r="E11" t="n"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a2342c3960df4fd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1" hidden="0" customWidth="1"/>
    <x:col min="2" max="2" width="20" hidden="0" customWidth="1"/>
    <x:col min="3" max="3" width="28" hidden="0" customWidth="1"/>
    <x:col min="4" max="4" width="99" hidden="0" customWidth="1"/>
  </x:cols>
  <x:sheetData>
    <x:row r="1">
      <x:c r="A1" s="2" t="str">
        <x:v>Gold Economy</x:v>
      </x:c>
      <x:c r="B1" s="1"/>
      <x:c r="C1" s="1"/>
      <x:c r="D1" s="1"/>
    </x:row>
    <x:row r="2">
      <x:c r="A2" s="3" t="str">
        <x:v>Gold sources, spending rules and shared balance inputs.</x:v>
      </x:c>
      <x:c r="B2" s="3"/>
      <x:c r="C2" s="3"/>
      <x:c r="D2" s="3"/>
    </x:row>
    <x:row r="3">
      <x:c r="A3" s="3" t="str">
        <x:v>Source: balance.gd; economy.gd; game_state.gd; combat.gd</x:v>
      </x:c>
      <x:c r="B3" s="3"/>
      <x:c r="C3" s="3"/>
      <x:c r="D3" s="3"/>
    </x:row>
    <x:row r="4">
      <x:c r="A4" s="1"/>
      <x:c r="B4" s="1"/>
      <x:c r="C4" s="1"/>
      <x:c r="D4" s="1"/>
    </x:row>
    <x:row r="5">
      <x:c r="A5" s="1"/>
      <x:c r="B5" s="1"/>
      <x:c r="C5" s="1"/>
      <x:c r="D5" s="1"/>
    </x:row>
    <x:row r="6">
      <x:c r="A6" s="1"/>
      <x:c r="B6" s="1"/>
      <x:c r="C6" s="1"/>
      <x:c r="D6" s="1"/>
    </x:row>
    <x:row r="7" ht="45" customHeight="1">
      <x:c r="A7" s="22" t="str">
        <x:v>Parameter</x:v>
      </x:c>
      <x:c r="B7" s="22" t="str">
        <x:v>Value</x:v>
      </x:c>
      <x:c r="C7" s="22" t="str">
        <x:v>Unit</x:v>
      </x:c>
      <x:c r="D7" s="22" t="str">
        <x:v>Rule</x:v>
      </x:c>
    </x:row>
    <x:row r="8" ht="44" customHeight="1">
      <x:c r="A8" s="23" t="str">
        <x:v>Starting gold</x:v>
      </x:c>
      <x:c r="B8" s="7" t="n">
        <x:v>280</x:v>
      </x:c>
      <x:c r="C8" s="7" t="str">
        <x:v>gold</x:v>
      </x:c>
      <x:c r="D8" s="23" t="str">
        <x:v>New game balance; first expansion is required before building.</x:v>
      </x:c>
    </x:row>
    <x:row r="9" ht="44" customHeight="1">
      <x:c r="A9" s="23" t="str">
        <x:v>Automation cost</x:v>
      </x:c>
      <x:c r="B9" s="7" t="n">
        <x:v>600</x:v>
      </x:c>
      <x:c r="C9" s="7" t="str">
        <x:v>gold</x:v>
      </x:c>
      <x:c r="D9" s="23" t="str">
        <x:v>One global purchase; collects earnings each simulation tick, no production multiplier.</x:v>
      </x:c>
    </x:row>
    <x:row r="10" ht="44" customHeight="1">
      <x:c r="A10" s="23" t="str">
        <x:v>Sell refund ratio</x:v>
      </x:c>
      <x:c r="B10" s="7" t="n">
        <x:v>0.5</x:v>
      </x:c>
      <x:c r="C10" s="7" t="str">
        <x:v>fraction</x:v>
      </x:c>
      <x:c r="D10" s="23" t="str">
        <x:v>Floor of total invested cost; unclaimed tower earnings are paid separately.</x:v>
      </x:c>
    </x:row>
    <x:row r="11" ht="44" customHeight="1">
      <x:c r="A11" s="23" t="str">
        <x:v>Move cost ratio</x:v>
      </x:c>
      <x:c r="B11" s="7" t="n">
        <x:v>0.2</x:v>
      </x:c>
      <x:c r="C11" s="7" t="str">
        <x:v>fraction</x:v>
      </x:c>
      <x:c r="D11" s="23" t="str">
        <x:v>Ceiling of total invested cost; no tier loss.</x:v>
      </x:c>
    </x:row>
    <x:row r="12" ht="44" customHeight="1">
      <x:c r="A12" s="23" t="str">
        <x:v>Rebuild base factor</x:v>
      </x:c>
      <x:c r="B12" s="7" t="n">
        <x:v>0.5</x:v>
      </x:c>
      <x:c r="C12" s="7" t="str">
        <x:v>seconds per base-cost gold</x:v>
      </x:c>
      <x:c r="D12" s="23" t="str">
        <x:v>Rebuild duration uses base build price, not cumulative investment.</x:v>
      </x:c>
    </x:row>
    <x:row r="13" ht="44" customHeight="1">
      <x:c r="A13" s="23" t="str">
        <x:v>Rebuild seconds per level</x:v>
      </x:c>
      <x:c r="B13" s="7" t="n">
        <x:v>15</x:v>
      </x:c>
      <x:c r="C13" s="7" t="str">
        <x:v>seconds</x:v>
      </x:c>
      <x:c r="D13" s="23" t="str">
        <x:v>Added for each level above 1.</x:v>
      </x:c>
    </x:row>
    <x:row r="14" ht="44" customHeight="1">
      <x:c r="A14" s="23" t="str">
        <x:v>Maximum rebuild</x:v>
      </x:c>
      <x:c r="B14" s="7" t="n">
        <x:v>180</x:v>
      </x:c>
      <x:c r="C14" s="7" t="str">
        <x:v>seconds</x:v>
      </x:c>
      <x:c r="D14" s="23" t="str">
        <x:v>Minimum rebuild duration is 1 second.</x:v>
      </x:c>
    </x:row>
    <x:row r="15" ht="44" customHeight="1">
      <x:c r="A15" s="23" t="str">
        <x:v>Offline multiplier</x:v>
      </x:c>
      <x:c r="B15" s="7" t="n">
        <x:v>0.8</x:v>
      </x:c>
      <x:c r="C15" s="7" t="str">
        <x:v>fraction</x:v>
      </x:c>
      <x:c r="D15" s="23" t="str">
        <x:v>Applied to observed regular-enemy production, not theoretical spawn income.</x:v>
      </x:c>
    </x:row>
    <x:row r="16" ht="44" customHeight="1">
      <x:c r="A16" s="23" t="str">
        <x:v>Maximum offline duration</x:v>
      </x:c>
      <x:c r="B16" s="7" t="n">
        <x:v>604800</x:v>
      </x:c>
      <x:c r="C16" s="7" t="str">
        <x:v>seconds</x:v>
      </x:c>
      <x:c r="D16" s="23" t="str">
        <x:v>Seven-day cap.</x:v>
      </x:c>
    </x:row>
    <x:row r="17" ht="44" customHeight="1">
      <x:c r="A17" s="23" t="str">
        <x:v>Minimum production sample</x:v>
      </x:c>
      <x:c r="B17" s="7" t="n">
        <x:v>60</x:v>
      </x:c>
      <x:c r="C17" s="7" t="str">
        <x:v>seconds</x:v>
      </x:c>
      <x:c r="D17" s="23" t="str">
        <x:v>Floor for history denominator.</x:v>
      </x:c>
    </x:row>
    <x:row r="18" ht="44" customHeight="1">
      <x:c r="A18" s="23" t="str">
        <x:v>Production history window</x:v>
      </x:c>
      <x:c r="B18" s="7" t="n">
        <x:v>180</x:v>
      </x:c>
      <x:c r="C18" s="7" t="str">
        <x:v>seconds</x:v>
      </x:c>
      <x:c r="D18" s="23" t="str">
        <x:v>History decays by exp(-delta / window) after window is reached.</x:v>
      </x:c>
    </x:row>
    <x:row r="19" ht="44" customHeight="1">
      <x:c r="A19" s="23" t="str">
        <x:v>Minimum offline elapsed</x:v>
      </x:c>
      <x:c r="B19" s="7" t="n">
        <x:v>2</x:v>
      </x:c>
      <x:c r="C19" s="7" t="str">
        <x:v>seconds</x:v>
      </x:c>
      <x:c r="D19" s="23" t="str">
        <x:v>Below this interval, no gold award.</x:v>
      </x:c>
    </x:row>
    <x:row r="20" ht="44" customHeight="1">
      <x:c r="A20" s="23" t="str">
        <x:v>Base spawn interval</x:v>
      </x:c>
      <x:c r="B20" s="7" t="n">
        <x:v>4.25</x:v>
      </x:c>
      <x:c r="C20" s="7" t="str">
        <x:v>seconds</x:v>
      </x:c>
      <x:c r="D20" s="23" t="str">
        <x:v>Mean interval before traffic upgrades.</x:v>
      </x:c>
    </x:row>
    <x:row r="21" ht="44" customHeight="1">
      <x:c r="A21" s="23" t="str">
        <x:v>Traffic increment</x:v>
      </x:c>
      <x:c r="B21" s="7" t="n">
        <x:v>0.25</x:v>
      </x:c>
      <x:c r="C21" s="7" t="str">
        <x:v>per level</x:v>
      </x:c>
      <x:c r="D21" s="23" t="str">
        <x:v>Spawn divisor is 1 + level × increment.</x:v>
      </x:c>
    </x:row>
    <x:row r="22" ht="44" customHeight="1">
      <x:c r="A22" s="23" t="str">
        <x:v>Maximum traffic level</x:v>
      </x:c>
      <x:c r="B22" s="7" t="n">
        <x:v>12</x:v>
      </x:c>
      <x:c r="C22" s="7" t="str">
        <x:v>level</x:v>
      </x:c>
      <x:c r="D22" s="23" t="str">
        <x:v>Each non-core purchased region upgrades independently.</x:v>
      </x:c>
    </x:row>
    <x:row r="23" ht="44" customHeight="1">
      <x:c r="A23" s="23" t="str">
        <x:v>Traffic base cost</x:v>
      </x:c>
      <x:c r="B23" s="7" t="n">
        <x:v>80</x:v>
      </x:c>
      <x:c r="C23" s="7" t="str">
        <x:v>gold</x:v>
      </x:c>
      <x:c r="D23" s="23" t="str">
        <x:v>Cost of traffic level 0 to 1.</x:v>
      </x:c>
    </x:row>
    <x:row r="24" ht="44" customHeight="1">
      <x:c r="A24" s="23" t="str">
        <x:v>Traffic cost growth</x:v>
      </x:c>
      <x:c r="B24" s="7" t="n">
        <x:v>1.8</x:v>
      </x:c>
      <x:c r="C24" s="7" t="str">
        <x:v>multiplier</x:v>
      </x:c>
      <x:c r="D24" s="23" t="str">
        <x:v>Next traffic price = ceil(base cost × growth ^ current level).</x:v>
      </x:c>
    </x:row>
    <x:row r="25" ht="44" customHeight="1">
      <x:c r="A25" s="23" t="str">
        <x:v>Expansion base price</x:v>
      </x:c>
      <x:c r="B25" s="7" t="n">
        <x:v>100</x:v>
      </x:c>
      <x:c r="C25" s="7" t="str">
        <x:v>gold</x:v>
      </x:c>
      <x:c r="D25" s="23" t="str">
        <x:v>Uses owned-region count before purchase, including the core.</x:v>
      </x:c>
    </x:row>
    <x:row r="26" ht="44" customHeight="1">
      <x:c r="A26" s="23" t="str">
        <x:v>Expansion exponent</x:v>
      </x:c>
      <x:c r="B26" s="7" t="n">
        <x:v>1.35</x:v>
      </x:c>
      <x:c r="C26" s="7" t="str">
        <x:v>exponent</x:v>
      </x:c>
      <x:c r="D26" s="23" t="str">
        <x:v>Price = ceil(base price × owned regions ^ exponent); no finite tier cap.</x:v>
      </x:c>
    </x:row>
    <x:row r="27" ht="44" customHeight="1">
      <x:c r="A27" s="23" t="str">
        <x:v>Maximum money</x:v>
      </x:c>
      <x:c r="B27" s="24" t="n">
        <x:v>1e+150</x:v>
      </x:c>
      <x:c r="C27" s="7" t="str">
        <x:v>gold</x:v>
      </x:c>
      <x:c r="D27" s="23" t="str">
        <x:v>Numeric safety cap used for balances, earnings and investments.</x:v>
      </x:c>
    </x:row>
    <x:row r="28" ht="44" customHeight="1">
      <x:c r="A28" s="23" t="str">
        <x:v>Initial spawn delay</x:v>
      </x:c>
      <x:c r="B28" s="7" t="n">
        <x:v>0.25</x:v>
      </x:c>
      <x:c r="C28" s="7" t="str">
        <x:v>seconds</x:v>
      </x:c>
      <x:c r="D28" s="23" t="str">
        <x:v>New region timer before first spawn.</x:v>
      </x:c>
    </x:row>
    <x:row r="29" ht="44" customHeight="1">
      <x:c r="A29" s="23" t="str">
        <x:v>Spawn jitter minimum</x:v>
      </x:c>
      <x:c r="B29" s="7" t="n">
        <x:v>0.9</x:v>
      </x:c>
      <x:c r="C29" s="7" t="str">
        <x:v>multiplier</x:v>
      </x:c>
      <x:c r="D29" s="23" t="str">
        <x:v>Random interval multiplier, independently drawn each spawn.</x:v>
      </x:c>
    </x:row>
    <x:row r="30" ht="44" customHeight="1">
      <x:c r="A30" s="23" t="str">
        <x:v>Spawn jitter maximum</x:v>
      </x:c>
      <x:c r="B30" s="7" t="n">
        <x:v>1.1</x:v>
      </x:c>
      <x:c r="C30" s="7" t="str">
        <x:v>multiplier</x:v>
      </x:c>
      <x:c r="D30" s="23" t="str">
        <x:v>Traffic table uses the nominal mean.</x:v>
      </x:c>
    </x:row>
    <x:row r="31" ht="44" customHeight="1">
      <x:c r="A31" s="23" t="str">
        <x:v>Income display window</x:v>
      </x:c>
      <x:c r="B31" s="7" t="n">
        <x:v>60</x:v>
      </x:c>
      <x:c r="C31" s="7" t="str">
        <x:v>seconds</x:v>
      </x:c>
      <x:c r="D31" s="23" t="str">
        <x:v>Recent online gold events, including boss rewards.</x:v>
      </x:c>
    </x:row>
    <x:row r="32" ht="44" customHeight="1">
      <x:c r="A32" s="23" t="str">
        <x:v>Income display startup floor</x:v>
      </x:c>
      <x:c r="B32" s="7" t="n">
        <x:v>10</x:v>
      </x:c>
      <x:c r="C32" s="7" t="str">
        <x:v>seconds</x:v>
      </x:c>
      <x:c r="D32" s="23" t="str">
        <x:v>Online display divides by max(10, min(60, simulation time)).</x:v>
      </x:c>
    </x:row>
  </x:sheetData>
  <x:pageMargins left="0.7" right="0.7" top="0.75" bottom="0.75" header="0.3" footer="0.3"/>
  <x:tableParts count="1">
    <x:tablePart xmlns:r="http://schemas.openxmlformats.org/officeDocument/2006/relationships" r:id="R141432d514324a4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4" hidden="0" customWidth="1"/>
    <x:col min="2" max="2" width="10" hidden="0" customWidth="1"/>
    <x:col min="3" max="3" width="19" hidden="0" customWidth="1"/>
    <x:col min="4" max="4" width="20" hidden="0" customWidth="1"/>
    <x:col min="5" max="5" width="21" hidden="0" customWidth="1"/>
    <x:col min="6" max="6" width="20" hidden="0" customWidth="1"/>
    <x:col min="7" max="7" width="16" hidden="0" customWidth="1"/>
    <x:col min="8" max="8" width="17" hidden="0" customWidth="1"/>
    <x:col min="9" max="9" width="18" hidden="0" customWidth="1"/>
  </x:cols>
  <x:sheetData>
    <x:row r="1">
      <x:c r="A1" s="2" t="str">
        <x:v>Tower Economy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3" t="str">
        <x:v>Purchase price is one step; invested gold includes every prior tier. DPS is direct damage per target.</x:v>
      </x:c>
      <x:c r="B2" s="3"/>
      <x:c r="C2" s="3"/>
      <x:c r="D2" s="3"/>
      <x:c r="E2" s="3"/>
      <x:c r="F2" s="3"/>
      <x:c r="G2" s="3"/>
      <x:c r="H2" s="3"/>
      <x:c r="I2" s="3"/>
    </x:row>
    <x:row r="3">
      <x:c r="A3" s="3" t="str">
        <x:v>Source: balance.gd: stats, invested_cost, sell_refund, move_cost, rebuild_seconds</x:v>
      </x:c>
      <x:c r="B3" s="3"/>
      <x:c r="C3" s="3"/>
      <x:c r="D3" s="3"/>
      <x:c r="E3" s="3"/>
      <x:c r="F3" s="3"/>
      <x:c r="G3" s="3"/>
      <x:c r="H3" s="3"/>
      <x:c r="I3" s="3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</x:row>
    <x:row r="7" ht="45" customHeight="1">
      <x:c r="A7" s="22" t="str">
        <x:v>Tower</x:v>
      </x:c>
      <x:c r="B7" s="22" t="str">
        <x:v>Level</x:v>
      </x:c>
      <x:c r="C7" s="22" t="str">
        <x:v>Step cost (gold)</x:v>
      </x:c>
      <x:c r="D7" s="22" t="str">
        <x:v>Invested (gold)</x:v>
      </x:c>
      <x:c r="E7" s="22" t="str">
        <x:v>Sell refund (gold)</x:v>
      </x:c>
      <x:c r="F7" s="22" t="str">
        <x:v>Move cost (gold)</x:v>
      </x:c>
      <x:c r="G7" s="22" t="str">
        <x:v>Rebuild (s)</x:v>
      </x:c>
      <x:c r="H7" s="22" t="str">
        <x:v>Direct DPS</x:v>
      </x:c>
      <x:c r="I7" s="22" t="str">
        <x:v>Primary targets</x:v>
      </x:c>
    </x:row>
    <x:row r="8" ht="33" customHeight="1">
      <x:c r="A8" s="7" t="str">
        <x:v>Ashneedle</x:v>
      </x:c>
      <x:c r="B8" s="7" t="n">
        <x:v>1</x:v>
      </x:c>
      <x:c r="C8" s="25" t="n">
        <x:f>'Towers'!G8</x:f>
        <x:v>60</x:v>
      </x:c>
      <x:c r="D8" s="25" t="n">
        <x:f>C8</x:f>
        <x:v>60</x:v>
      </x:c>
      <x:c r="E8" s="25" t="n">
        <x:f>ROUNDDOWN(D8*'Gold Economy'!$B$10,0)</x:f>
        <x:v>30</x:v>
      </x:c>
      <x:c r="F8" s="25" t="n">
        <x:f>ROUNDUP(D8*'Gold Economy'!$B$11,0)</x:f>
        <x:v>12</x:v>
      </x:c>
      <x:c r="G8" s="25" t="n">
        <x:f>MIN('Gold Economy'!$B$14,MAX(1,ROUNDUP(C8*'Gold Economy'!$B$12+(B8-1)*'Gold Economy'!$B$13,0)))</x:f>
        <x:v>30</x:v>
      </x:c>
      <x:c r="H8" s="26" t="n">
        <x:f>'Towers'!C8/'Towers'!D8</x:f>
        <x:v>12.5</x:v>
      </x:c>
      <x:c r="I8" s="7" t="n">
        <x:v>1</x:v>
      </x:c>
    </x:row>
    <x:row r="9" ht="33" customHeight="1">
      <x:c r="A9" s="7" t="str">
        <x:v>Ashneedle</x:v>
      </x:c>
      <x:c r="B9" s="7" t="n">
        <x:v>2</x:v>
      </x:c>
      <x:c r="C9" s="25" t="n">
        <x:f>'Towers'!G9</x:f>
        <x:v>60</x:v>
      </x:c>
      <x:c r="D9" s="25" t="n">
        <x:f>D8+C9</x:f>
        <x:v>120</x:v>
      </x:c>
      <x:c r="E9" s="25" t="n">
        <x:f>ROUNDDOWN(D9*'Gold Economy'!$B$10,0)</x:f>
        <x:v>60</x:v>
      </x:c>
      <x:c r="F9" s="25" t="n">
        <x:f>ROUNDUP(D9*'Gold Economy'!$B$11,0)</x:f>
        <x:v>24</x:v>
      </x:c>
      <x:c r="G9" s="25" t="n">
        <x:f>MIN('Gold Economy'!$B$14,MAX(1,ROUNDUP(C8*'Gold Economy'!$B$12+(B9-1)*'Gold Economy'!$B$13,0)))</x:f>
        <x:v>45</x:v>
      </x:c>
      <x:c r="H9" s="26" t="n">
        <x:f>'Towers'!C9/'Towers'!D9</x:f>
        <x:v>25</x:v>
      </x:c>
      <x:c r="I9" s="7" t="n">
        <x:v>1</x:v>
      </x:c>
    </x:row>
    <x:row r="10" ht="33" customHeight="1">
      <x:c r="A10" s="7" t="str">
        <x:v>Ashneedle</x:v>
      </x:c>
      <x:c r="B10" s="7" t="n">
        <x:v>3</x:v>
      </x:c>
      <x:c r="C10" s="25" t="n">
        <x:f>'Towers'!G10</x:f>
        <x:v>100</x:v>
      </x:c>
      <x:c r="D10" s="25" t="n">
        <x:f>D9+C10</x:f>
        <x:v>220</x:v>
      </x:c>
      <x:c r="E10" s="25" t="n">
        <x:f>ROUNDDOWN(D10*'Gold Economy'!$B$10,0)</x:f>
        <x:v>110</x:v>
      </x:c>
      <x:c r="F10" s="25" t="n">
        <x:f>ROUNDUP(D10*'Gold Economy'!$B$11,0)</x:f>
        <x:v>44</x:v>
      </x:c>
      <x:c r="G10" s="25" t="n">
        <x:f>MIN('Gold Economy'!$B$14,MAX(1,ROUNDUP(C8*'Gold Economy'!$B$12+(B10-1)*'Gold Economy'!$B$13,0)))</x:f>
        <x:v>60</x:v>
      </x:c>
      <x:c r="H10" s="26" t="n">
        <x:f>'Towers'!C10/'Towers'!D10</x:f>
        <x:v>50</x:v>
      </x:c>
      <x:c r="I10" s="7" t="n">
        <x:v>1</x:v>
      </x:c>
    </x:row>
    <x:row r="11" ht="33" customHeight="1">
      <x:c r="A11" s="7" t="str">
        <x:v>Pyre</x:v>
      </x:c>
      <x:c r="B11" s="7" t="n">
        <x:v>1</x:v>
      </x:c>
      <x:c r="C11" s="25" t="n">
        <x:f>'Towers'!G11</x:f>
        <x:v>120</x:v>
      </x:c>
      <x:c r="D11" s="25" t="n">
        <x:f>C11</x:f>
        <x:v>120</x:v>
      </x:c>
      <x:c r="E11" s="25" t="n">
        <x:f>ROUNDDOWN(D11*'Gold Economy'!$B$10,0)</x:f>
        <x:v>60</x:v>
      </x:c>
      <x:c r="F11" s="25" t="n">
        <x:f>ROUNDUP(D11*'Gold Economy'!$B$11,0)</x:f>
        <x:v>24</x:v>
      </x:c>
      <x:c r="G11" s="25" t="n">
        <x:f>MIN('Gold Economy'!$B$14,MAX(1,ROUNDUP(C11*'Gold Economy'!$B$12+(B11-1)*'Gold Economy'!$B$13,0)))</x:f>
        <x:v>60</x:v>
      </x:c>
      <x:c r="H11" s="26" t="n">
        <x:f>'Towers'!C11/'Towers'!D11</x:f>
        <x:v>10</x:v>
      </x:c>
      <x:c r="I11" s="7" t="n">
        <x:v>1</x:v>
      </x:c>
    </x:row>
    <x:row r="12" ht="33" customHeight="1">
      <x:c r="A12" s="7" t="str">
        <x:v>Pyre</x:v>
      </x:c>
      <x:c r="B12" s="7" t="n">
        <x:v>2</x:v>
      </x:c>
      <x:c r="C12" s="25" t="n">
        <x:f>'Towers'!G12</x:f>
        <x:v>120</x:v>
      </x:c>
      <x:c r="D12" s="25" t="n">
        <x:f>D11+C12</x:f>
        <x:v>240</x:v>
      </x:c>
      <x:c r="E12" s="25" t="n">
        <x:f>ROUNDDOWN(D12*'Gold Economy'!$B$10,0)</x:f>
        <x:v>120</x:v>
      </x:c>
      <x:c r="F12" s="25" t="n">
        <x:f>ROUNDUP(D12*'Gold Economy'!$B$11,0)</x:f>
        <x:v>48</x:v>
      </x:c>
      <x:c r="G12" s="25" t="n">
        <x:f>MIN('Gold Economy'!$B$14,MAX(1,ROUNDUP(C11*'Gold Economy'!$B$12+(B12-1)*'Gold Economy'!$B$13,0)))</x:f>
        <x:v>75</x:v>
      </x:c>
      <x:c r="H12" s="26" t="n">
        <x:f>'Towers'!C12/'Towers'!D12</x:f>
        <x:v>18.46153846153846</x:v>
      </x:c>
      <x:c r="I12" s="7" t="n">
        <x:v>1</x:v>
      </x:c>
    </x:row>
    <x:row r="13" ht="33" customHeight="1">
      <x:c r="A13" s="7" t="str">
        <x:v>Pyre</x:v>
      </x:c>
      <x:c r="B13" s="7" t="n">
        <x:v>3</x:v>
      </x:c>
      <x:c r="C13" s="25" t="n">
        <x:f>'Towers'!G13</x:f>
        <x:v>200</x:v>
      </x:c>
      <x:c r="D13" s="25" t="n">
        <x:f>D12+C13</x:f>
        <x:v>440</x:v>
      </x:c>
      <x:c r="E13" s="25" t="n">
        <x:f>ROUNDDOWN(D13*'Gold Economy'!$B$10,0)</x:f>
        <x:v>220</x:v>
      </x:c>
      <x:c r="F13" s="25" t="n">
        <x:f>ROUNDUP(D13*'Gold Economy'!$B$11,0)</x:f>
        <x:v>88</x:v>
      </x:c>
      <x:c r="G13" s="25" t="n">
        <x:f>MIN('Gold Economy'!$B$14,MAX(1,ROUNDUP(C11*'Gold Economy'!$B$12+(B13-1)*'Gold Economy'!$B$13,0)))</x:f>
        <x:v>90</x:v>
      </x:c>
      <x:c r="H13" s="26" t="n">
        <x:f>'Towers'!C13/'Towers'!D13</x:f>
        <x:v>32.72727272727273</x:v>
      </x:c>
      <x:c r="I13" s="7" t="n">
        <x:v>1</x:v>
      </x:c>
    </x:row>
    <x:row r="14" ht="33" customHeight="1">
      <x:c r="A14" s="7" t="str">
        <x:v>Obelisk</x:v>
      </x:c>
      <x:c r="B14" s="7" t="n">
        <x:v>1</x:v>
      </x:c>
      <x:c r="C14" s="25" t="n">
        <x:f>'Towers'!G14</x:f>
        <x:v>160</x:v>
      </x:c>
      <x:c r="D14" s="25" t="n">
        <x:f>C14</x:f>
        <x:v>160</x:v>
      </x:c>
      <x:c r="E14" s="25" t="n">
        <x:f>ROUNDDOWN(D14*'Gold Economy'!$B$10,0)</x:f>
        <x:v>80</x:v>
      </x:c>
      <x:c r="F14" s="25" t="n">
        <x:f>ROUNDUP(D14*'Gold Economy'!$B$11,0)</x:f>
        <x:v>32</x:v>
      </x:c>
      <x:c r="G14" s="25" t="n">
        <x:f>MIN('Gold Economy'!$B$14,MAX(1,ROUNDUP(C14*'Gold Economy'!$B$12+(B14-1)*'Gold Economy'!$B$13,0)))</x:f>
        <x:v>80</x:v>
      </x:c>
      <x:c r="H14" s="26" t="n">
        <x:f>'Towers'!C14/'Towers'!D14</x:f>
        <x:v>22.22222222222222</x:v>
      </x:c>
      <x:c r="I14" s="7" t="n">
        <x:v>1</x:v>
      </x:c>
    </x:row>
    <x:row r="15" ht="33" customHeight="1">
      <x:c r="A15" s="7" t="str">
        <x:v>Obelisk</x:v>
      </x:c>
      <x:c r="B15" s="7" t="n">
        <x:v>2</x:v>
      </x:c>
      <x:c r="C15" s="25" t="n">
        <x:f>'Towers'!G15</x:f>
        <x:v>140</x:v>
      </x:c>
      <x:c r="D15" s="25" t="n">
        <x:f>D14+C15</x:f>
        <x:v>300</x:v>
      </x:c>
      <x:c r="E15" s="25" t="n">
        <x:f>ROUNDDOWN(D15*'Gold Economy'!$B$10,0)</x:f>
        <x:v>150</x:v>
      </x:c>
      <x:c r="F15" s="25" t="n">
        <x:f>ROUNDUP(D15*'Gold Economy'!$B$11,0)</x:f>
        <x:v>60</x:v>
      </x:c>
      <x:c r="G15" s="25" t="n">
        <x:f>MIN('Gold Economy'!$B$14,MAX(1,ROUNDUP(C14*'Gold Economy'!$B$12+(B15-1)*'Gold Economy'!$B$13,0)))</x:f>
        <x:v>95</x:v>
      </x:c>
      <x:c r="H15" s="26" t="n">
        <x:f>'Towers'!C15/'Towers'!D15</x:f>
        <x:v>44.44444444444444</x:v>
      </x:c>
      <x:c r="I15" s="7" t="n">
        <x:v>1</x:v>
      </x:c>
    </x:row>
    <x:row r="16" ht="33" customHeight="1">
      <x:c r="A16" s="7" t="str">
        <x:v>Obelisk</x:v>
      </x:c>
      <x:c r="B16" s="7" t="n">
        <x:v>3</x:v>
      </x:c>
      <x:c r="C16" s="25" t="n">
        <x:f>'Towers'!G16</x:f>
        <x:v>220</x:v>
      </x:c>
      <x:c r="D16" s="25" t="n">
        <x:f>D15+C16</x:f>
        <x:v>520</x:v>
      </x:c>
      <x:c r="E16" s="25" t="n">
        <x:f>ROUNDDOWN(D16*'Gold Economy'!$B$10,0)</x:f>
        <x:v>260</x:v>
      </x:c>
      <x:c r="F16" s="25" t="n">
        <x:f>ROUNDUP(D16*'Gold Economy'!$B$11,0)</x:f>
        <x:v>104</x:v>
      </x:c>
      <x:c r="G16" s="25" t="n">
        <x:f>MIN('Gold Economy'!$B$14,MAX(1,ROUNDUP(C14*'Gold Economy'!$B$12+(B16-1)*'Gold Economy'!$B$13,0)))</x:f>
        <x:v>110</x:v>
      </x:c>
      <x:c r="H16" s="26" t="n">
        <x:f>'Towers'!C16/'Towers'!D16</x:f>
        <x:v>100</x:v>
      </x:c>
      <x:c r="I16" s="7" t="n">
        <x:v>1</x:v>
      </x:c>
    </x:row>
    <x:row r="17" ht="33" customHeight="1">
      <x:c r="A17" s="7" t="str">
        <x:v>Stormspire</x:v>
      </x:c>
      <x:c r="B17" s="7" t="n">
        <x:v>1</x:v>
      </x:c>
      <x:c r="C17" s="25" t="n">
        <x:f>'Towers'!G17</x:f>
        <x:v>140</x:v>
      </x:c>
      <x:c r="D17" s="25" t="n">
        <x:f>C17</x:f>
        <x:v>140</x:v>
      </x:c>
      <x:c r="E17" s="25" t="n">
        <x:f>ROUNDDOWN(D17*'Gold Economy'!$B$10,0)</x:f>
        <x:v>70</x:v>
      </x:c>
      <x:c r="F17" s="25" t="n">
        <x:f>ROUNDUP(D17*'Gold Economy'!$B$11,0)</x:f>
        <x:v>28</x:v>
      </x:c>
      <x:c r="G17" s="25" t="n">
        <x:f>MIN('Gold Economy'!$B$14,MAX(1,ROUNDUP(C17*'Gold Economy'!$B$12+(B17-1)*'Gold Economy'!$B$13,0)))</x:f>
        <x:v>70</x:v>
      </x:c>
      <x:c r="H17" s="26" t="n">
        <x:f>'Towers'!C17/'Towers'!D17</x:f>
        <x:v>7.5</x:v>
      </x:c>
      <x:c r="I17" s="7" t="n">
        <x:v>5</x:v>
      </x:c>
    </x:row>
    <x:row r="18" ht="33" customHeight="1">
      <x:c r="A18" s="7" t="str">
        <x:v>Stormspire</x:v>
      </x:c>
      <x:c r="B18" s="7" t="n">
        <x:v>2</x:v>
      </x:c>
      <x:c r="C18" s="25" t="n">
        <x:f>'Towers'!G18</x:f>
        <x:v>120</x:v>
      </x:c>
      <x:c r="D18" s="25" t="n">
        <x:f>D17+C18</x:f>
        <x:v>260</x:v>
      </x:c>
      <x:c r="E18" s="25" t="n">
        <x:f>ROUNDDOWN(D18*'Gold Economy'!$B$10,0)</x:f>
        <x:v>130</x:v>
      </x:c>
      <x:c r="F18" s="25" t="n">
        <x:f>ROUNDUP(D18*'Gold Economy'!$B$11,0)</x:f>
        <x:v>52</x:v>
      </x:c>
      <x:c r="G18" s="25" t="n">
        <x:f>MIN('Gold Economy'!$B$14,MAX(1,ROUNDUP(C17*'Gold Economy'!$B$12+(B18-1)*'Gold Economy'!$B$13,0)))</x:f>
        <x:v>85</x:v>
      </x:c>
      <x:c r="H18" s="26" t="n">
        <x:f>'Towers'!C18/'Towers'!D18</x:f>
        <x:v>14.285714285714286</x:v>
      </x:c>
      <x:c r="I18" s="7" t="n">
        <x:v>5</x:v>
      </x:c>
    </x:row>
    <x:row r="19" ht="33" customHeight="1">
      <x:c r="A19" s="7" t="str">
        <x:v>Stormspire</x:v>
      </x:c>
      <x:c r="B19" s="7" t="n">
        <x:v>3</x:v>
      </x:c>
      <x:c r="C19" s="25" t="n">
        <x:f>'Towers'!G19</x:f>
        <x:v>200</x:v>
      </x:c>
      <x:c r="D19" s="25" t="n">
        <x:f>D18+C19</x:f>
        <x:v>460</x:v>
      </x:c>
      <x:c r="E19" s="25" t="n">
        <x:f>ROUNDDOWN(D19*'Gold Economy'!$B$10,0)</x:f>
        <x:v>230</x:v>
      </x:c>
      <x:c r="F19" s="25" t="n">
        <x:f>ROUNDUP(D19*'Gold Economy'!$B$11,0)</x:f>
        <x:v>92</x:v>
      </x:c>
      <x:c r="G19" s="25" t="n">
        <x:f>MIN('Gold Economy'!$B$14,MAX(1,ROUNDUP(C17*'Gold Economy'!$B$12+(B19-1)*'Gold Economy'!$B$13,0)))</x:f>
        <x:v>100</x:v>
      </x:c>
      <x:c r="H19" s="26" t="n">
        <x:f>'Towers'!C19/'Towers'!D19</x:f>
        <x:v>23.333333333333336</x:v>
      </x:c>
      <x:c r="I19" s="7" t="n">
        <x:v>5</x:v>
      </x:c>
    </x:row>
    <x:row r="20" ht="33" customHeight="1">
      <x:c r="A20" s="7" t="str">
        <x:v>Frostneedle</x:v>
      </x:c>
      <x:c r="B20" s="7" t="n">
        <x:v>4</x:v>
      </x:c>
      <x:c r="C20" s="25" t="n">
        <x:f>'Towers'!G20</x:f>
        <x:v>180</x:v>
      </x:c>
      <x:c r="D20" s="25" t="n">
        <x:f>D10+C20</x:f>
        <x:v>400</x:v>
      </x:c>
      <x:c r="E20" s="25" t="n">
        <x:f>ROUNDDOWN(D20*'Gold Economy'!$B$10,0)</x:f>
        <x:v>200</x:v>
      </x:c>
      <x:c r="F20" s="25" t="n">
        <x:f>ROUNDUP(D20*'Gold Economy'!$B$11,0)</x:f>
        <x:v>80</x:v>
      </x:c>
      <x:c r="G20" s="25" t="n">
        <x:f>MIN('Gold Economy'!$B$14,MAX(1,ROUNDUP(C8*'Gold Economy'!$B$12+(B20-1)*'Gold Economy'!$B$13,0)))</x:f>
        <x:v>75</x:v>
      </x:c>
      <x:c r="H20" s="26" t="n">
        <x:f>'Towers'!C20/'Towers'!D20</x:f>
        <x:v>50</x:v>
      </x:c>
      <x:c r="I20" s="7" t="n">
        <x:v>1</x:v>
      </x:c>
    </x:row>
    <x:row r="21" ht="33" customHeight="1">
      <x:c r="A21" s="7" t="str">
        <x:v>Thorn Volley</x:v>
      </x:c>
      <x:c r="B21" s="7" t="n">
        <x:v>4</x:v>
      </x:c>
      <x:c r="C21" s="25" t="n">
        <x:f>'Towers'!G21</x:f>
        <x:v>180</x:v>
      </x:c>
      <x:c r="D21" s="25" t="n">
        <x:f>D10+C21</x:f>
        <x:v>400</x:v>
      </x:c>
      <x:c r="E21" s="25" t="n">
        <x:f>ROUNDDOWN(D21*'Gold Economy'!$B$10,0)</x:f>
        <x:v>200</x:v>
      </x:c>
      <x:c r="F21" s="25" t="n">
        <x:f>ROUNDUP(D21*'Gold Economy'!$B$11,0)</x:f>
        <x:v>80</x:v>
      </x:c>
      <x:c r="G21" s="25" t="n">
        <x:f>MIN('Gold Economy'!$B$14,MAX(1,ROUNDUP(C8*'Gold Economy'!$B$12+(B21-1)*'Gold Economy'!$B$13,0)))</x:f>
        <x:v>75</x:v>
      </x:c>
      <x:c r="H21" s="26" t="n">
        <x:f>'Towers'!C21/'Towers'!D21</x:f>
        <x:v>50</x:v>
      </x:c>
      <x:c r="I21" s="7" t="n">
        <x:v>1</x:v>
      </x:c>
    </x:row>
    <x:row r="22" ht="33" customHeight="1">
      <x:c r="A22" s="7" t="str">
        <x:v>Cinderfield</x:v>
      </x:c>
      <x:c r="B22" s="7" t="n">
        <x:v>4</x:v>
      </x:c>
      <x:c r="C22" s="25" t="n">
        <x:f>'Towers'!G22</x:f>
        <x:v>320</x:v>
      </x:c>
      <x:c r="D22" s="25" t="n">
        <x:f>D13+C22</x:f>
        <x:v>760</x:v>
      </x:c>
      <x:c r="E22" s="25" t="n">
        <x:f>ROUNDDOWN(D22*'Gold Economy'!$B$10,0)</x:f>
        <x:v>380</x:v>
      </x:c>
      <x:c r="F22" s="25" t="n">
        <x:f>ROUNDUP(D22*'Gold Economy'!$B$11,0)</x:f>
        <x:v>152</x:v>
      </x:c>
      <x:c r="G22" s="25" t="n">
        <x:f>MIN('Gold Economy'!$B$14,MAX(1,ROUNDUP(C11*'Gold Economy'!$B$12+(B22-1)*'Gold Economy'!$B$13,0)))</x:f>
        <x:v>105</x:v>
      </x:c>
      <x:c r="H22" s="26" t="n">
        <x:f>'Towers'!C22/'Towers'!D22</x:f>
        <x:v>24.545454545454543</x:v>
      </x:c>
      <x:c r="I22" s="7" t="n">
        <x:v>1</x:v>
      </x:c>
    </x:row>
    <x:row r="23" ht="33" customHeight="1">
      <x:c r="A23" s="7" t="str">
        <x:v>Rupture Pyre</x:v>
      </x:c>
      <x:c r="B23" s="7" t="n">
        <x:v>4</x:v>
      </x:c>
      <x:c r="C23" s="25" t="n">
        <x:f>'Towers'!G23</x:f>
        <x:v>320</x:v>
      </x:c>
      <x:c r="D23" s="25" t="n">
        <x:f>D13+C23</x:f>
        <x:v>760</x:v>
      </x:c>
      <x:c r="E23" s="25" t="n">
        <x:f>ROUNDDOWN(D23*'Gold Economy'!$B$10,0)</x:f>
        <x:v>380</x:v>
      </x:c>
      <x:c r="F23" s="25" t="n">
        <x:f>ROUNDUP(D23*'Gold Economy'!$B$11,0)</x:f>
        <x:v>152</x:v>
      </x:c>
      <x:c r="G23" s="25" t="n">
        <x:f>MIN('Gold Economy'!$B$14,MAX(1,ROUNDUP(C11*'Gold Economy'!$B$12+(B23-1)*'Gold Economy'!$B$13,0)))</x:f>
        <x:v>105</x:v>
      </x:c>
      <x:c r="H23" s="26" t="n">
        <x:f>'Towers'!C23/'Towers'!D23</x:f>
        <x:v>36</x:v>
      </x:c>
      <x:c r="I23" s="7" t="n">
        <x:v>1</x:v>
      </x:c>
    </x:row>
    <x:row r="24" ht="33" customHeight="1">
      <x:c r="A24" s="7" t="str">
        <x:v>Grave Echo</x:v>
      </x:c>
      <x:c r="B24" s="7" t="n">
        <x:v>4</x:v>
      </x:c>
      <x:c r="C24" s="25" t="n">
        <x:f>'Towers'!G24</x:f>
        <x:v>360</x:v>
      </x:c>
      <x:c r="D24" s="25" t="n">
        <x:f>D16+C24</x:f>
        <x:v>880</x:v>
      </x:c>
      <x:c r="E24" s="25" t="n">
        <x:f>ROUNDDOWN(D24*'Gold Economy'!$B$10,0)</x:f>
        <x:v>440</x:v>
      </x:c>
      <x:c r="F24" s="25" t="n">
        <x:f>ROUNDUP(D24*'Gold Economy'!$B$11,0)</x:f>
        <x:v>176</x:v>
      </x:c>
      <x:c r="G24" s="25" t="n">
        <x:f>MIN('Gold Economy'!$B$14,MAX(1,ROUNDUP(C14*'Gold Economy'!$B$12+(B24-1)*'Gold Economy'!$B$13,0)))</x:f>
        <x:v>125</x:v>
      </x:c>
      <x:c r="H24" s="26" t="n">
        <x:f>'Towers'!C24/'Towers'!D24</x:f>
        <x:v>122.22222222222221</x:v>
      </x:c>
      <x:c r="I24" s="7" t="n">
        <x:v>1</x:v>
      </x:c>
    </x:row>
    <x:row r="25" ht="33" customHeight="1">
      <x:c r="A25" s="7" t="str">
        <x:v>Doomstone</x:v>
      </x:c>
      <x:c r="B25" s="7" t="n">
        <x:v>4</x:v>
      </x:c>
      <x:c r="C25" s="25" t="n">
        <x:f>'Towers'!G25</x:f>
        <x:v>360</x:v>
      </x:c>
      <x:c r="D25" s="25" t="n">
        <x:f>D16+C25</x:f>
        <x:v>880</x:v>
      </x:c>
      <x:c r="E25" s="25" t="n">
        <x:f>ROUNDDOWN(D25*'Gold Economy'!$B$10,0)</x:f>
        <x:v>440</x:v>
      </x:c>
      <x:c r="F25" s="25" t="n">
        <x:f>ROUNDUP(D25*'Gold Economy'!$B$11,0)</x:f>
        <x:v>176</x:v>
      </x:c>
      <x:c r="G25" s="25" t="n">
        <x:f>MIN('Gold Economy'!$B$14,MAX(1,ROUNDUP(C14*'Gold Economy'!$B$12+(B25-1)*'Gold Economy'!$B$13,0)))</x:f>
        <x:v>125</x:v>
      </x:c>
      <x:c r="H25" s="26" t="n">
        <x:f>'Towers'!C25/'Towers'!D25</x:f>
        <x:v>100</x:v>
      </x:c>
      <x:c r="I25" s="7" t="n">
        <x:v>1</x:v>
      </x:c>
    </x:row>
    <x:row r="26" ht="33" customHeight="1">
      <x:c r="A26" s="7" t="str">
        <x:v>Tempest Web</x:v>
      </x:c>
      <x:c r="B26" s="7" t="n">
        <x:v>4</x:v>
      </x:c>
      <x:c r="C26" s="25" t="n">
        <x:f>'Towers'!G26</x:f>
        <x:v>300</x:v>
      </x:c>
      <x:c r="D26" s="25" t="n">
        <x:f>D19+C26</x:f>
        <x:v>760</x:v>
      </x:c>
      <x:c r="E26" s="25" t="n">
        <x:f>ROUNDDOWN(D26*'Gold Economy'!$B$10,0)</x:f>
        <x:v>380</x:v>
      </x:c>
      <x:c r="F26" s="25" t="n">
        <x:f>ROUNDUP(D26*'Gold Economy'!$B$11,0)</x:f>
        <x:v>152</x:v>
      </x:c>
      <x:c r="G26" s="25" t="n">
        <x:f>MIN('Gold Economy'!$B$14,MAX(1,ROUNDUP(C17*'Gold Economy'!$B$12+(B26-1)*'Gold Economy'!$B$13,0)))</x:f>
        <x:v>115</x:v>
      </x:c>
      <x:c r="H26" s="26" t="n">
        <x:f>'Towers'!C26/'Towers'!D26</x:f>
        <x:v>23.333333333333336</x:v>
      </x:c>
      <x:c r="I26" s="7" t="n">
        <x:v>5</x:v>
      </x:c>
    </x:row>
    <x:row r="27" ht="33" customHeight="1">
      <x:c r="A27" s="7" t="str">
        <x:v>Thunderseal</x:v>
      </x:c>
      <x:c r="B27" s="7" t="n">
        <x:v>4</x:v>
      </x:c>
      <x:c r="C27" s="25" t="n">
        <x:f>'Towers'!G27</x:f>
        <x:v>300</x:v>
      </x:c>
      <x:c r="D27" s="25" t="n">
        <x:f>D19+C27</x:f>
        <x:v>760</x:v>
      </x:c>
      <x:c r="E27" s="25" t="n">
        <x:f>ROUNDDOWN(D27*'Gold Economy'!$B$10,0)</x:f>
        <x:v>380</x:v>
      </x:c>
      <x:c r="F27" s="25" t="n">
        <x:f>ROUNDUP(D27*'Gold Economy'!$B$11,0)</x:f>
        <x:v>152</x:v>
      </x:c>
      <x:c r="G27" s="25" t="n">
        <x:f>MIN('Gold Economy'!$B$14,MAX(1,ROUNDUP(C17*'Gold Economy'!$B$12+(B27-1)*'Gold Economy'!$B$13,0)))</x:f>
        <x:v>115</x:v>
      </x:c>
      <x:c r="H27" s="26" t="n">
        <x:f>'Towers'!C27/'Towers'!D27</x:f>
        <x:v>23.333333333333336</x:v>
      </x:c>
      <x:c r="I27" s="7" t="n">
        <x:v>5</x:v>
      </x:c>
    </x:row>
  </x:sheetData>
  <x:pageMargins left="0.7" right="0.7" top="0.75" bottom="0.75" header="0.3" footer="0.3"/>
  <x:tableParts count="1">
    <x:tablePart xmlns:r="http://schemas.openxmlformats.org/officeDocument/2006/relationships" r:id="Rc0c8e3bb3ba74ea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7" hidden="0" customWidth="1"/>
    <x:col min="2" max="2" width="18" hidden="0" customWidth="1"/>
    <x:col min="3" max="3" width="20" hidden="0" customWidth="1"/>
    <x:col min="4" max="4" width="21" hidden="0" customWidth="1"/>
    <x:col min="5" max="5" width="18" hidden="0" customWidth="1"/>
    <x:col min="6" max="6" width="85" hidden="0" customWidth="1"/>
  </x:cols>
  <x:sheetData>
    <x:row r="1">
      <x:c r="A1" s="2" t="str">
        <x:v>Bosses</x:v>
      </x:c>
      <x:c r="B1" s="1"/>
      <x:c r="C1" s="1"/>
      <x:c r="D1" s="1"/>
      <x:c r="E1" s="1"/>
      <x:c r="F1" s="1"/>
    </x:row>
    <x:row r="2">
      <x:c r="A2" s="3" t="str">
        <x:v>One-time encounters. No direct attack damage; escorts give no gold. Bosses do not receive rift modifiers.</x:v>
      </x:c>
      <x:c r="B2" s="3"/>
      <x:c r="C2" s="3"/>
      <x:c r="D2" s="3"/>
      <x:c r="E2" s="3"/>
      <x:c r="F2" s="3"/>
    </x:row>
    <x:row r="3">
      <x:c r="A3" s="3" t="str">
        <x:v>Source: balance.gd: BOSSES; bosses.gd: create, advance; combat.gd: hit</x:v>
      </x:c>
      <x:c r="B3" s="3"/>
      <x:c r="C3" s="3"/>
      <x:c r="D3" s="3"/>
      <x:c r="E3" s="3"/>
      <x:c r="F3" s="3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1"/>
      <x:c r="B6" s="1"/>
      <x:c r="C6" s="1"/>
      <x:c r="D6" s="1"/>
      <x:c r="E6" s="1"/>
      <x:c r="F6" s="1"/>
    </x:row>
    <x:row r="7" ht="45" customHeight="1">
      <x:c r="A7" s="22" t="str">
        <x:v>Boss / escort</x:v>
      </x:c>
      <x:c r="B7" s="22" t="str">
        <x:v>Health (HP)</x:v>
      </x:c>
      <x:c r="C7" s="22" t="str">
        <x:v>Speed (units/s)</x:v>
      </x:c>
      <x:c r="D7" s="22" t="str">
        <x:v>Gold per defeat</x:v>
      </x:c>
      <x:c r="E7" s="22" t="str">
        <x:v>Damage dealt</x:v>
      </x:c>
      <x:c r="F7" s="22" t="str">
        <x:v>Counter / reward rule</x:v>
      </x:c>
    </x:row>
    <x:row r="8" ht="48" customHeight="1">
      <x:c r="A8" s="7" t="str">
        <x:v>The Drowned Bell</x:v>
      </x:c>
      <x:c r="B8" s="7" t="n">
        <x:v>2800</x:v>
      </x:c>
      <x:c r="C8" s="7" t="n">
        <x:v>32</x:v>
      </x:c>
      <x:c r="D8" s="7" t="n">
        <x:v>450</x:v>
      </x:c>
      <x:c r="E8" s="7" t="n">
        <x:v>0</x:v>
      </x:c>
      <x:c r="F8" s="23" t="str">
        <x:v>Thunderseal: stronger seals; delays tolls</x:v>
      </x:c>
    </x:row>
    <x:row r="9" ht="48" customHeight="1">
      <x:c r="A9" s="7" t="str">
        <x:v>Cindermaw</x:v>
      </x:c>
      <x:c r="B9" s="7" t="n">
        <x:v>3600</x:v>
      </x:c>
      <x:c r="C9" s="7" t="n">
        <x:v>25</x:v>
      </x:c>
      <x:c r="D9" s="7" t="n">
        <x:v>500</x:v>
      </x:c>
      <x:c r="E9" s="7" t="n">
        <x:v>0</x:v>
      </x:c>
      <x:c r="F9" s="23" t="str">
        <x:v>Frostneedle: +50% damage; quenches haste</x:v>
      </x:c>
    </x:row>
    <x:row r="10" ht="48" customHeight="1">
      <x:c r="A10" s="7" t="str">
        <x:v>The Eclipse Prior</x:v>
      </x:c>
      <x:c r="B10" s="7" t="n">
        <x:v>3000</x:v>
      </x:c>
      <x:c r="C10" s="7" t="n">
        <x:v>30</x:v>
      </x:c>
      <x:c r="D10" s="7" t="n">
        <x:v>500</x:v>
      </x:c>
      <x:c r="E10" s="7" t="n">
        <x:v>0</x:v>
      </x:c>
      <x:c r="F10" s="23" t="str">
        <x:v>Doomstone: bypasses wards; curses regrowth</x:v>
      </x:c>
    </x:row>
    <x:row r="11" ht="48" customHeight="1">
      <x:c r="A11" s="7" t="str">
        <x:v>Briarbound Warden</x:v>
      </x:c>
      <x:c r="B11" s="7" t="n">
        <x:v>3200</x:v>
      </x:c>
      <x:c r="C11" s="7" t="n">
        <x:v>27</x:v>
      </x:c>
      <x:c r="D11" s="7" t="n">
        <x:v>450</x:v>
      </x:c>
      <x:c r="E11" s="7" t="n">
        <x:v>0</x:v>
      </x:c>
      <x:c r="F11" s="23" t="str">
        <x:v>Cinderfield: burns roots; blocks regrowth</x:v>
      </x:c>
    </x:row>
    <x:row r="12" ht="48" customHeight="1">
      <x:c r="A12" s="7" t="str">
        <x:v>Drowned Bell escort</x:v>
      </x:c>
      <x:c r="B12" s="7" t="n">
        <x:v>45</x:v>
      </x:c>
      <x:c r="C12" s="7" t="n">
        <x:v>39</x:v>
      </x:c>
      <x:c r="D12" s="7" t="n">
        <x:v>0</x:v>
      </x:c>
      <x:c r="E12" s="7" t="n">
        <x:v>0</x:v>
      </x:c>
      <x:c r="F12" s="23" t="str">
        <x:v>Summoned Hollow; HP and speed use Hollow tuning. No rift modifier, gold bounty or offline production.</x:v>
      </x:c>
    </x:row>
  </x:sheetData>
  <x:pageMargins left="0.7" right="0.7" top="0.75" bottom="0.75" header="0.3" footer="0.3"/>
  <x:tableParts count="1">
    <x:tablePart xmlns:r="http://schemas.openxmlformats.org/officeDocument/2006/relationships" r:id="R7abb0fae02614537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4" hidden="0" customWidth="1"/>
    <x:col min="2" max="2" width="30" hidden="0" customWidth="1"/>
    <x:col min="3" max="3" width="17" hidden="0" customWidth="1"/>
    <x:col min="4" max="4" width="17" hidden="0" customWidth="1"/>
    <x:col min="5" max="5" width="22" hidden="0" customWidth="1"/>
    <x:col min="6" max="6" width="44" hidden="0" customWidth="1"/>
  </x:cols>
  <x:sheetData>
    <x:row r="1">
      <x:c r="A1" s="2" t="str">
        <x:v>Rifts</x:v>
      </x:c>
      <x:c r="B1" s="1"/>
      <x:c r="C1" s="1"/>
      <x:c r="D1" s="1"/>
      <x:c r="E1" s="1"/>
      <x:c r="F1" s="1"/>
    </x:row>
    <x:row r="2">
      <x:c r="A2" s="3" t="str">
        <x:v>Every owned region except the core spawns enemies. Effects stay with enemies from their origin rift.</x:v>
      </x:c>
      <x:c r="B2" s="3"/>
      <x:c r="C2" s="3"/>
      <x:c r="D2" s="3"/>
      <x:c r="E2" s="3"/>
      <x:c r="F2" s="3"/>
    </x:row>
    <x:row r="3">
      <x:c r="A3" s="3" t="str">
        <x:v>Source: balance.gd: RIFTS; combat.gd: spawn, tick; world.gd: has_rift</x:v>
      </x:c>
      <x:c r="B3" s="3"/>
      <x:c r="C3" s="3"/>
      <x:c r="D3" s="3"/>
      <x:c r="E3" s="3"/>
      <x:c r="F3" s="3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1"/>
      <x:c r="B6" s="1"/>
      <x:c r="C6" s="1"/>
      <x:c r="D6" s="1"/>
      <x:c r="E6" s="1"/>
      <x:c r="F6" s="1"/>
    </x:row>
    <x:row r="7" ht="45" customHeight="1">
      <x:c r="A7" s="22" t="str">
        <x:v>Portal</x:v>
      </x:c>
      <x:c r="B7" s="22" t="str">
        <x:v>Biome ID</x:v>
      </x:c>
      <x:c r="C7" s="22" t="str">
        <x:v>HP bonus</x:v>
      </x:c>
      <x:c r="D7" s="22" t="str">
        <x:v>Speed bonus</x:v>
      </x:c>
      <x:c r="E7" s="22" t="str">
        <x:v>Regen / second</x:v>
      </x:c>
      <x:c r="F7" s="22" t="str">
        <x:v>Effect</x:v>
      </x:c>
    </x:row>
    <x:row r="8" ht="33" customHeight="1">
      <x:c r="A8" s="7" t="str">
        <x:v>Wild Rift</x:v>
      </x:c>
      <x:c r="B8" s="7" t="str">
        <x:v>forest</x:v>
      </x:c>
      <x:c r="C8" s="27" t="n">
        <x:v>0</x:v>
      </x:c>
      <x:c r="D8" s="27" t="n">
        <x:v>0</x:v>
      </x:c>
      <x:c r="E8" s="27" t="n">
        <x:v>0</x:v>
      </x:c>
      <x:c r="F8" s="7" t="str">
        <x:v>No enemy modifier.</x:v>
      </x:c>
    </x:row>
    <x:row r="9" ht="33" customHeight="1">
      <x:c r="A9" s="7" t="str">
        <x:v>Forged Rift</x:v>
      </x:c>
      <x:c r="B9" s="7" t="str">
        <x:v>ashen_forge</x:v>
      </x:c>
      <x:c r="C9" s="27" t="n">
        <x:v>0.25</x:v>
      </x:c>
      <x:c r="D9" s="27" t="n">
        <x:v>0</x:v>
      </x:c>
      <x:c r="E9" s="27" t="n">
        <x:v>0</x:v>
      </x:c>
      <x:c r="F9" s="7" t="str">
        <x:v>Maximum HP bonus</x:v>
      </x:c>
    </x:row>
    <x:row r="10" ht="33" customHeight="1">
      <x:c r="A10" s="7" t="str">
        <x:v>Drowned Rift</x:v>
      </x:c>
      <x:c r="B10" s="7" t="str">
        <x:v>drowned_crypt</x:v>
      </x:c>
      <x:c r="C10" s="27" t="n">
        <x:v>0</x:v>
      </x:c>
      <x:c r="D10" s="27" t="n">
        <x:v>0.15</x:v>
      </x:c>
      <x:c r="E10" s="27" t="n">
        <x:v>0</x:v>
      </x:c>
      <x:c r="F10" s="7" t="str">
        <x:v>Movement speed bonus</x:v>
      </x:c>
    </x:row>
    <x:row r="11" ht="33" customHeight="1">
      <x:c r="A11" s="7" t="str">
        <x:v>Bloodmoon Rift</x:v>
      </x:c>
      <x:c r="B11" s="7" t="str">
        <x:v>bloodmoon_sanctuary</x:v>
      </x:c>
      <x:c r="C11" s="27" t="n">
        <x:v>0</x:v>
      </x:c>
      <x:c r="D11" s="27" t="n">
        <x:v>0</x:v>
      </x:c>
      <x:c r="E11" s="27" t="n">
        <x:v>0.01</x:v>
      </x:c>
      <x:c r="F11" s="7" t="str">
        <x:v>Maximum HP restored per second</x:v>
      </x:c>
    </x:row>
  </x:sheetData>
  <x:pageMargins left="0.7" right="0.7" top="0.75" bottom="0.75" header="0.3" footer="0.3"/>
  <x:tableParts count="1">
    <x:tablePart xmlns:r="http://schemas.openxmlformats.org/officeDocument/2006/relationships" r:id="Rf4d72b7c8db7487f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5" hidden="0" customWidth="1"/>
    <x:col min="2" max="2" width="25" hidden="0" customWidth="1"/>
    <x:col min="3" max="3" width="19" hidden="0" customWidth="1"/>
    <x:col min="4" max="4" width="22" hidden="0" customWidth="1"/>
    <x:col min="5" max="5" width="23" hidden="0" customWidth="1"/>
    <x:col min="6" max="6" width="23" hidden="0" customWidth="1"/>
  </x:cols>
  <x:sheetData>
    <x:row r="1">
      <x:c r="A1" s="2" t="str">
        <x:v>Rift Enemies</x:v>
      </x:c>
      <x:c r="B1" s="1"/>
      <x:c r="C1" s="1"/>
      <x:c r="D1" s="1"/>
      <x:c r="E1" s="1"/>
      <x:c r="F1" s="1"/>
    </x:row>
    <x:row r="2">
      <x:c r="A2" s="3" t="str">
        <x:v>Default modified stats for all 16 portal/enemy combinations. Rift effects do not increase bounties.</x:v>
      </x:c>
      <x:c r="B2" s="3"/>
      <x:c r="C2" s="3"/>
      <x:c r="D2" s="3"/>
      <x:c r="E2" s="3"/>
      <x:c r="F2" s="3"/>
    </x:row>
    <x:row r="3">
      <x:c r="A3" s="3" t="str">
        <x:v>Source: Rifts and Enemies; combat.gd: rift_health_multiplier and tick</x:v>
      </x:c>
      <x:c r="B3" s="3"/>
      <x:c r="C3" s="3"/>
      <x:c r="D3" s="3"/>
      <x:c r="E3" s="3"/>
      <x:c r="F3" s="3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>
      <x:c r="A6" s="1"/>
      <x:c r="B6" s="1"/>
      <x:c r="C6" s="1"/>
      <x:c r="D6" s="1"/>
      <x:c r="E6" s="1"/>
      <x:c r="F6" s="1"/>
    </x:row>
    <x:row r="7" ht="45" customHeight="1">
      <x:c r="A7" s="22" t="str">
        <x:v>Portal</x:v>
      </x:c>
      <x:c r="B7" s="22" t="str">
        <x:v>Enemy</x:v>
      </x:c>
      <x:c r="C7" s="22" t="str">
        <x:v>Max HP</x:v>
      </x:c>
      <x:c r="D7" s="22" t="str">
        <x:v>Speed (units/s)</x:v>
      </x:c>
      <x:c r="E7" s="22" t="str">
        <x:v>Regen (HP/s)</x:v>
      </x:c>
      <x:c r="F7" s="22" t="str">
        <x:v>Gold per defeat</x:v>
      </x:c>
    </x:row>
    <x:row r="8" ht="33" customHeight="1">
      <x:c r="A8" s="7" t="str">
        <x:v>Wild Rift</x:v>
      </x:c>
      <x:c r="B8" s="7" t="str">
        <x:v>Hollow</x:v>
      </x:c>
      <x:c r="C8" s="7" t="n">
        <x:f>'Enemies'!B8*(1+'Rifts'!C8)</x:f>
        <x:v>45</x:v>
      </x:c>
      <x:c r="D8" s="7" t="n">
        <x:f>'Enemies'!D8*(1+'Rifts'!D8)</x:f>
        <x:v>39</x:v>
      </x:c>
      <x:c r="E8" s="7" t="n">
        <x:f>C8*'Rifts'!E8</x:f>
        <x:v>0</x:v>
      </x:c>
      <x:c r="F8" s="7" t="n">
        <x:f>'Enemies'!E8</x:f>
        <x:v>5</x:v>
      </x:c>
    </x:row>
    <x:row r="9" ht="33" customHeight="1">
      <x:c r="A9" s="7" t="str">
        <x:v>Wild Rift</x:v>
      </x:c>
      <x:c r="B9" s="7" t="str">
        <x:v>Wraith</x:v>
      </x:c>
      <x:c r="C9" s="7" t="n">
        <x:f>'Enemies'!B9*(1+'Rifts'!C8)</x:f>
        <x:v>36</x:v>
      </x:c>
      <x:c r="D9" s="7" t="n">
        <x:f>'Enemies'!D9*(1+'Rifts'!D8)</x:f>
        <x:v>74</x:v>
      </x:c>
      <x:c r="E9" s="7" t="n">
        <x:f>C9*'Rifts'!E8</x:f>
        <x:v>0</x:v>
      </x:c>
      <x:c r="F9" s="7" t="n">
        <x:f>'Enemies'!E9</x:f>
        <x:v>8</x:v>
      </x:c>
    </x:row>
    <x:row r="10" ht="33" customHeight="1">
      <x:c r="A10" s="7" t="str">
        <x:v>Wild Rift</x:v>
      </x:c>
      <x:c r="B10" s="7" t="str">
        <x:v>Revenant</x:v>
      </x:c>
      <x:c r="C10" s="7" t="n">
        <x:f>'Enemies'!B10*(1+'Rifts'!C8)</x:f>
        <x:v>340</x:v>
      </x:c>
      <x:c r="D10" s="7" t="n">
        <x:f>'Enemies'!D10*(1+'Rifts'!D8)</x:f>
        <x:v>25</x:v>
      </x:c>
      <x:c r="E10" s="7" t="n">
        <x:f>C10*'Rifts'!E8</x:f>
        <x:v>0</x:v>
      </x:c>
      <x:c r="F10" s="7" t="n">
        <x:f>'Enemies'!E10</x:f>
        <x:v>24</x:v>
      </x:c>
    </x:row>
    <x:row r="11" ht="33" customHeight="1">
      <x:c r="A11" s="7" t="str">
        <x:v>Wild Rift</x:v>
      </x:c>
      <x:c r="B11" s="7" t="str">
        <x:v>Lantern Keeper</x:v>
      </x:c>
      <x:c r="C11" s="7" t="n">
        <x:f>'Enemies'!B11*(1+'Rifts'!C8)</x:f>
        <x:v>120</x:v>
      </x:c>
      <x:c r="D11" s="7" t="n">
        <x:f>'Enemies'!D11*(1+'Rifts'!D8)</x:f>
        <x:v>46</x:v>
      </x:c>
      <x:c r="E11" s="7" t="n">
        <x:f>C11*'Rifts'!E8</x:f>
        <x:v>0</x:v>
      </x:c>
      <x:c r="F11" s="7" t="n">
        <x:f>'Enemies'!E11</x:f>
        <x:v>14</x:v>
      </x:c>
    </x:row>
    <x:row r="12" ht="33" customHeight="1">
      <x:c r="A12" s="7" t="str">
        <x:v>Forged Rift</x:v>
      </x:c>
      <x:c r="B12" s="7" t="str">
        <x:v>Hollow</x:v>
      </x:c>
      <x:c r="C12" s="7" t="n">
        <x:f>'Enemies'!B8*(1+'Rifts'!C9)</x:f>
        <x:v>56.25</x:v>
      </x:c>
      <x:c r="D12" s="7" t="n">
        <x:f>'Enemies'!D8*(1+'Rifts'!D9)</x:f>
        <x:v>39</x:v>
      </x:c>
      <x:c r="E12" s="7" t="n">
        <x:f>C12*'Rifts'!E9</x:f>
        <x:v>0</x:v>
      </x:c>
      <x:c r="F12" s="7" t="n">
        <x:f>'Enemies'!E8</x:f>
        <x:v>5</x:v>
      </x:c>
    </x:row>
    <x:row r="13" ht="33" customHeight="1">
      <x:c r="A13" s="7" t="str">
        <x:v>Forged Rift</x:v>
      </x:c>
      <x:c r="B13" s="7" t="str">
        <x:v>Wraith</x:v>
      </x:c>
      <x:c r="C13" s="7" t="n">
        <x:f>'Enemies'!B9*(1+'Rifts'!C9)</x:f>
        <x:v>45</x:v>
      </x:c>
      <x:c r="D13" s="7" t="n">
        <x:f>'Enemies'!D9*(1+'Rifts'!D9)</x:f>
        <x:v>74</x:v>
      </x:c>
      <x:c r="E13" s="7" t="n">
        <x:f>C13*'Rifts'!E9</x:f>
        <x:v>0</x:v>
      </x:c>
      <x:c r="F13" s="7" t="n">
        <x:f>'Enemies'!E9</x:f>
        <x:v>8</x:v>
      </x:c>
    </x:row>
    <x:row r="14" ht="33" customHeight="1">
      <x:c r="A14" s="7" t="str">
        <x:v>Forged Rift</x:v>
      </x:c>
      <x:c r="B14" s="7" t="str">
        <x:v>Revenant</x:v>
      </x:c>
      <x:c r="C14" s="7" t="n">
        <x:f>'Enemies'!B10*(1+'Rifts'!C9)</x:f>
        <x:v>425</x:v>
      </x:c>
      <x:c r="D14" s="7" t="n">
        <x:f>'Enemies'!D10*(1+'Rifts'!D9)</x:f>
        <x:v>25</x:v>
      </x:c>
      <x:c r="E14" s="7" t="n">
        <x:f>C14*'Rifts'!E9</x:f>
        <x:v>0</x:v>
      </x:c>
      <x:c r="F14" s="7" t="n">
        <x:f>'Enemies'!E10</x:f>
        <x:v>24</x:v>
      </x:c>
    </x:row>
    <x:row r="15" ht="33" customHeight="1">
      <x:c r="A15" s="7" t="str">
        <x:v>Forged Rift</x:v>
      </x:c>
      <x:c r="B15" s="7" t="str">
        <x:v>Lantern Keeper</x:v>
      </x:c>
      <x:c r="C15" s="7" t="n">
        <x:f>'Enemies'!B11*(1+'Rifts'!C9)</x:f>
        <x:v>150</x:v>
      </x:c>
      <x:c r="D15" s="7" t="n">
        <x:f>'Enemies'!D11*(1+'Rifts'!D9)</x:f>
        <x:v>46</x:v>
      </x:c>
      <x:c r="E15" s="7" t="n">
        <x:f>C15*'Rifts'!E9</x:f>
        <x:v>0</x:v>
      </x:c>
      <x:c r="F15" s="7" t="n">
        <x:f>'Enemies'!E11</x:f>
        <x:v>14</x:v>
      </x:c>
    </x:row>
    <x:row r="16" ht="33" customHeight="1">
      <x:c r="A16" s="7" t="str">
        <x:v>Drowned Rift</x:v>
      </x:c>
      <x:c r="B16" s="7" t="str">
        <x:v>Hollow</x:v>
      </x:c>
      <x:c r="C16" s="7" t="n">
        <x:f>'Enemies'!B8*(1+'Rifts'!C10)</x:f>
        <x:v>45</x:v>
      </x:c>
      <x:c r="D16" s="7" t="n">
        <x:f>'Enemies'!D8*(1+'Rifts'!D10)</x:f>
        <x:v>44.849999999999994</x:v>
      </x:c>
      <x:c r="E16" s="7" t="n">
        <x:f>C16*'Rifts'!E10</x:f>
        <x:v>0</x:v>
      </x:c>
      <x:c r="F16" s="7" t="n">
        <x:f>'Enemies'!E8</x:f>
        <x:v>5</x:v>
      </x:c>
    </x:row>
    <x:row r="17" ht="33" customHeight="1">
      <x:c r="A17" s="7" t="str">
        <x:v>Drowned Rift</x:v>
      </x:c>
      <x:c r="B17" s="7" t="str">
        <x:v>Wraith</x:v>
      </x:c>
      <x:c r="C17" s="7" t="n">
        <x:f>'Enemies'!B9*(1+'Rifts'!C10)</x:f>
        <x:v>36</x:v>
      </x:c>
      <x:c r="D17" s="7" t="n">
        <x:f>'Enemies'!D9*(1+'Rifts'!D10)</x:f>
        <x:v>85.1</x:v>
      </x:c>
      <x:c r="E17" s="7" t="n">
        <x:f>C17*'Rifts'!E10</x:f>
        <x:v>0</x:v>
      </x:c>
      <x:c r="F17" s="7" t="n">
        <x:f>'Enemies'!E9</x:f>
        <x:v>8</x:v>
      </x:c>
    </x:row>
    <x:row r="18" ht="33" customHeight="1">
      <x:c r="A18" s="7" t="str">
        <x:v>Drowned Rift</x:v>
      </x:c>
      <x:c r="B18" s="7" t="str">
        <x:v>Revenant</x:v>
      </x:c>
      <x:c r="C18" s="7" t="n">
        <x:f>'Enemies'!B10*(1+'Rifts'!C10)</x:f>
        <x:v>340</x:v>
      </x:c>
      <x:c r="D18" s="7" t="n">
        <x:f>'Enemies'!D10*(1+'Rifts'!D10)</x:f>
        <x:v>28.749999999999996</x:v>
      </x:c>
      <x:c r="E18" s="7" t="n">
        <x:f>C18*'Rifts'!E10</x:f>
        <x:v>0</x:v>
      </x:c>
      <x:c r="F18" s="7" t="n">
        <x:f>'Enemies'!E10</x:f>
        <x:v>24</x:v>
      </x:c>
    </x:row>
    <x:row r="19" ht="33" customHeight="1">
      <x:c r="A19" s="7" t="str">
        <x:v>Drowned Rift</x:v>
      </x:c>
      <x:c r="B19" s="7" t="str">
        <x:v>Lantern Keeper</x:v>
      </x:c>
      <x:c r="C19" s="7" t="n">
        <x:f>'Enemies'!B11*(1+'Rifts'!C10)</x:f>
        <x:v>120</x:v>
      </x:c>
      <x:c r="D19" s="7" t="n">
        <x:f>'Enemies'!D11*(1+'Rifts'!D10)</x:f>
        <x:v>52.9</x:v>
      </x:c>
      <x:c r="E19" s="7" t="n">
        <x:f>C19*'Rifts'!E10</x:f>
        <x:v>0</x:v>
      </x:c>
      <x:c r="F19" s="7" t="n">
        <x:f>'Enemies'!E11</x:f>
        <x:v>14</x:v>
      </x:c>
    </x:row>
    <x:row r="20" ht="33" customHeight="1">
      <x:c r="A20" s="7" t="str">
        <x:v>Bloodmoon Rift</x:v>
      </x:c>
      <x:c r="B20" s="7" t="str">
        <x:v>Hollow</x:v>
      </x:c>
      <x:c r="C20" s="7" t="n">
        <x:f>'Enemies'!B8*(1+'Rifts'!C11)</x:f>
        <x:v>45</x:v>
      </x:c>
      <x:c r="D20" s="7" t="n">
        <x:f>'Enemies'!D8*(1+'Rifts'!D11)</x:f>
        <x:v>39</x:v>
      </x:c>
      <x:c r="E20" s="7" t="n">
        <x:f>C20*'Rifts'!E11</x:f>
        <x:v>0.45</x:v>
      </x:c>
      <x:c r="F20" s="7" t="n">
        <x:f>'Enemies'!E8</x:f>
        <x:v>5</x:v>
      </x:c>
    </x:row>
    <x:row r="21" ht="33" customHeight="1">
      <x:c r="A21" s="7" t="str">
        <x:v>Bloodmoon Rift</x:v>
      </x:c>
      <x:c r="B21" s="7" t="str">
        <x:v>Wraith</x:v>
      </x:c>
      <x:c r="C21" s="7" t="n">
        <x:f>'Enemies'!B9*(1+'Rifts'!C11)</x:f>
        <x:v>36</x:v>
      </x:c>
      <x:c r="D21" s="7" t="n">
        <x:f>'Enemies'!D9*(1+'Rifts'!D11)</x:f>
        <x:v>74</x:v>
      </x:c>
      <x:c r="E21" s="7" t="n">
        <x:f>C21*'Rifts'!E11</x:f>
        <x:v>0.36</x:v>
      </x:c>
      <x:c r="F21" s="7" t="n">
        <x:f>'Enemies'!E9</x:f>
        <x:v>8</x:v>
      </x:c>
    </x:row>
    <x:row r="22" ht="33" customHeight="1">
      <x:c r="A22" s="7" t="str">
        <x:v>Bloodmoon Rift</x:v>
      </x:c>
      <x:c r="B22" s="7" t="str">
        <x:v>Revenant</x:v>
      </x:c>
      <x:c r="C22" s="7" t="n">
        <x:f>'Enemies'!B10*(1+'Rifts'!C11)</x:f>
        <x:v>340</x:v>
      </x:c>
      <x:c r="D22" s="7" t="n">
        <x:f>'Enemies'!D10*(1+'Rifts'!D11)</x:f>
        <x:v>25</x:v>
      </x:c>
      <x:c r="E22" s="7" t="n">
        <x:f>C22*'Rifts'!E11</x:f>
        <x:v>3.4</x:v>
      </x:c>
      <x:c r="F22" s="7" t="n">
        <x:f>'Enemies'!E10</x:f>
        <x:v>24</x:v>
      </x:c>
    </x:row>
    <x:row r="23" ht="33" customHeight="1">
      <x:c r="A23" s="7" t="str">
        <x:v>Bloodmoon Rift</x:v>
      </x:c>
      <x:c r="B23" s="7" t="str">
        <x:v>Lantern Keeper</x:v>
      </x:c>
      <x:c r="C23" s="7" t="n">
        <x:f>'Enemies'!B11*(1+'Rifts'!C11)</x:f>
        <x:v>120</x:v>
      </x:c>
      <x:c r="D23" s="7" t="n">
        <x:f>'Enemies'!D11*(1+'Rifts'!D11)</x:f>
        <x:v>46</x:v>
      </x:c>
      <x:c r="E23" s="7" t="n">
        <x:f>C23*'Rifts'!E11</x:f>
        <x:v>1.2</x:v>
      </x:c>
      <x:c r="F23" s="7" t="n">
        <x:f>'Enemies'!E11</x:f>
        <x:v>14</x:v>
      </x:c>
    </x:row>
  </x:sheetData>
  <x:pageMargins left="0.7" right="0.7" top="0.75" bottom="0.75" header="0.3" footer="0.3"/>
  <x:tableParts count="1">
    <x:tablePart xmlns:r="http://schemas.openxmlformats.org/officeDocument/2006/relationships" r:id="Rf1dc163f8c48441e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9" hidden="0" customWidth="1"/>
    <x:col min="4" max="4" width="19" hidden="0" customWidth="1"/>
    <x:col min="5" max="5" width="20" hidden="0" customWidth="1"/>
    <x:col min="6" max="6" width="19" hidden="0" customWidth="1"/>
    <x:col min="7" max="7" width="20" hidden="0" customWidth="1"/>
  </x:cols>
  <x:sheetData>
    <x:row r="1">
      <x:c r="A1" s="2" t="str">
        <x:v>Enemy Mix</x:v>
      </x:c>
      <x:c r="B1" s="1"/>
      <x:c r="C1" s="1"/>
      <x:c r="D1" s="1"/>
      <x:c r="E1" s="1"/>
      <x:c r="F1" s="1"/>
      <x:c r="G1" s="1"/>
    </x:row>
    <x:row r="2">
      <x:c r="A2" s="3" t="str">
        <x:v>All eight regional unlock combinations. Rewards assume every spawned enemy is defeated.</x:v>
      </x:c>
      <x:c r="B2" s="3"/>
      <x:c r="C2" s="3"/>
      <x:c r="D2" s="3"/>
      <x:c r="E2" s="3"/>
      <x:c r="F2" s="3"/>
      <x:c r="G2" s="3"/>
    </x:row>
    <x:row r="3">
      <x:c r="A3" s="3" t="str">
        <x:v>Source: balance.gd: ENEMY_SHARES, UNLOCK_COSTS, enemy_mix; Enemies</x:v>
      </x:c>
      <x:c r="B3" s="3"/>
      <x:c r="C3" s="3"/>
      <x:c r="D3" s="3"/>
      <x:c r="E3" s="3"/>
      <x:c r="F3" s="3"/>
      <x:c r="G3" s="3"/>
    </x:row>
    <x:row r="4">
      <x:c r="A4" s="1"/>
      <x:c r="B4" s="1"/>
      <x:c r="C4" s="1"/>
      <x:c r="D4" s="1"/>
      <x:c r="E4" s="1"/>
      <x:c r="F4" s="1"/>
      <x:c r="G4" s="1"/>
    </x:row>
    <x:row r="5">
      <x:c r="A5" s="1"/>
      <x:c r="B5" s="1"/>
      <x:c r="C5" s="1"/>
      <x:c r="D5" s="1"/>
      <x:c r="E5" s="1"/>
      <x:c r="F5" s="1"/>
      <x:c r="G5" s="1"/>
    </x:row>
    <x:row r="6">
      <x:c r="A6" s="1"/>
      <x:c r="B6" s="1"/>
      <x:c r="C6" s="1"/>
      <x:c r="D6" s="1"/>
      <x:c r="E6" s="1"/>
      <x:c r="F6" s="1"/>
      <x:c r="G6" s="1"/>
    </x:row>
    <x:row r="7" ht="45" customHeight="1">
      <x:c r="A7" s="22" t="str">
        <x:v>Unlocked enemies</x:v>
      </x:c>
      <x:c r="B7" s="22" t="str">
        <x:v>Unlock spend (gold)</x:v>
      </x:c>
      <x:c r="C7" s="22" t="str">
        <x:v>Hollow share</x:v>
      </x:c>
      <x:c r="D7" s="22" t="str">
        <x:v>Wraith share</x:v>
      </x:c>
      <x:c r="E7" s="22" t="str">
        <x:v>Revenant share</x:v>
      </x:c>
      <x:c r="F7" s="22" t="str">
        <x:v>Keeper share</x:v>
      </x:c>
      <x:c r="G7" s="22" t="str">
        <x:v>Gold / spawn</x:v>
      </x:c>
    </x:row>
    <x:row r="8" ht="44" customHeight="1">
      <x:c r="A8" s="23" t="str">
        <x:v>Hollow only</x:v>
      </x:c>
      <x:c r="B8" s="7" t="n">
        <x:f>0</x:f>
        <x:v>0</x:v>
      </x:c>
      <x:c r="C8" s="27" t="n">
        <x:f>MAX(0,1-SUM(D8:F8))</x:f>
        <x:v>1</x:v>
      </x:c>
      <x:c r="D8" s="27" t="n">
        <x:v>0</x:v>
      </x:c>
      <x:c r="E8" s="27" t="n">
        <x:v>0</x:v>
      </x:c>
      <x:c r="F8" s="27" t="n">
        <x:v>0</x:v>
      </x:c>
      <x:c r="G8" s="7" t="n">
        <x:f>C8*'Enemies'!E8+D8*'Enemies'!E9+E8*'Enemies'!E10+F8*'Enemies'!E11</x:f>
        <x:v>5</x:v>
      </x:c>
    </x:row>
    <x:row r="9" ht="44" customHeight="1">
      <x:c r="A9" s="23" t="str">
        <x:v>Wraith</x:v>
      </x:c>
      <x:c r="B9" s="7" t="n">
        <x:f>'Unlocks'!B9</x:f>
        <x:v>90</x:v>
      </x:c>
      <x:c r="C9" s="27" t="n">
        <x:f>MAX(0,1-SUM(D9:F9))</x:f>
        <x:v>0.7</x:v>
      </x:c>
      <x:c r="D9" s="27" t="n">
        <x:f>'Unlocks'!C9</x:f>
        <x:v>0.3</x:v>
      </x:c>
      <x:c r="E9" s="27" t="n">
        <x:v>0</x:v>
      </x:c>
      <x:c r="F9" s="27" t="n">
        <x:v>0</x:v>
      </x:c>
      <x:c r="G9" s="7" t="n">
        <x:f>C9*'Enemies'!E8+D9*'Enemies'!E9+E9*'Enemies'!E10+F9*'Enemies'!E11</x:f>
        <x:v>5.9</x:v>
      </x:c>
    </x:row>
    <x:row r="10" ht="44" customHeight="1">
      <x:c r="A10" s="23" t="str">
        <x:v>Revenant</x:v>
      </x:c>
      <x:c r="B10" s="7" t="n">
        <x:f>'Unlocks'!B10</x:f>
        <x:v>180</x:v>
      </x:c>
      <x:c r="C10" s="27" t="n">
        <x:f>MAX(0,1-SUM(D10:F10))</x:f>
        <x:v>0.8200000000000001</x:v>
      </x:c>
      <x:c r="D10" s="27" t="n">
        <x:v>0</x:v>
      </x:c>
      <x:c r="E10" s="27" t="n">
        <x:f>'Unlocks'!C10</x:f>
        <x:v>0.18</x:v>
      </x:c>
      <x:c r="F10" s="27" t="n">
        <x:v>0</x:v>
      </x:c>
      <x:c r="G10" s="7" t="n">
        <x:f>C10*'Enemies'!E8+D10*'Enemies'!E9+E10*'Enemies'!E10+F10*'Enemies'!E11</x:f>
        <x:v>8.420000000000002</x:v>
      </x:c>
    </x:row>
    <x:row r="11" ht="44" customHeight="1">
      <x:c r="A11" s="23" t="str">
        <x:v>Wraith + Revenant</x:v>
      </x:c>
      <x:c r="B11" s="7" t="n">
        <x:f>'Unlocks'!B9+'Unlocks'!B10</x:f>
        <x:v>270</x:v>
      </x:c>
      <x:c r="C11" s="27" t="n">
        <x:f>MAX(0,1-SUM(D11:F11))</x:f>
        <x:v>0.52</x:v>
      </x:c>
      <x:c r="D11" s="27" t="n">
        <x:f>'Unlocks'!C9</x:f>
        <x:v>0.3</x:v>
      </x:c>
      <x:c r="E11" s="27" t="n">
        <x:f>'Unlocks'!C10</x:f>
        <x:v>0.18</x:v>
      </x:c>
      <x:c r="F11" s="27" t="n">
        <x:v>0</x:v>
      </x:c>
      <x:c r="G11" s="7" t="n">
        <x:f>C11*'Enemies'!E8+D11*'Enemies'!E9+E11*'Enemies'!E10+F11*'Enemies'!E11</x:f>
        <x:v>9.32</x:v>
      </x:c>
    </x:row>
    <x:row r="12" ht="44" customHeight="1">
      <x:c r="A12" s="23" t="str">
        <x:v>Lantern Keeper</x:v>
      </x:c>
      <x:c r="B12" s="7" t="n">
        <x:f>'Unlocks'!B11</x:f>
        <x:v>140</x:v>
      </x:c>
      <x:c r="C12" s="27" t="n">
        <x:f>MAX(0,1-SUM(D12:F12))</x:f>
        <x:v>0.84</x:v>
      </x:c>
      <x:c r="D12" s="27" t="n">
        <x:v>0</x:v>
      </x:c>
      <x:c r="E12" s="27" t="n">
        <x:v>0</x:v>
      </x:c>
      <x:c r="F12" s="27" t="n">
        <x:f>'Unlocks'!C11</x:f>
        <x:v>0.16</x:v>
      </x:c>
      <x:c r="G12" s="7" t="n">
        <x:f>C12*'Enemies'!E8+D12*'Enemies'!E9+E12*'Enemies'!E10+F12*'Enemies'!E11</x:f>
        <x:v>6.44</x:v>
      </x:c>
    </x:row>
    <x:row r="13" ht="44" customHeight="1">
      <x:c r="A13" s="23" t="str">
        <x:v>Wraith + Lantern Keeper</x:v>
      </x:c>
      <x:c r="B13" s="7" t="n">
        <x:f>'Unlocks'!B9+'Unlocks'!B11</x:f>
        <x:v>230</x:v>
      </x:c>
      <x:c r="C13" s="27" t="n">
        <x:f>MAX(0,1-SUM(D13:F13))</x:f>
        <x:v>0.54</x:v>
      </x:c>
      <x:c r="D13" s="27" t="n">
        <x:f>'Unlocks'!C9</x:f>
        <x:v>0.3</x:v>
      </x:c>
      <x:c r="E13" s="27" t="n">
        <x:v>0</x:v>
      </x:c>
      <x:c r="F13" s="27" t="n">
        <x:f>'Unlocks'!C11</x:f>
        <x:v>0.16</x:v>
      </x:c>
      <x:c r="G13" s="7" t="n">
        <x:f>C13*'Enemies'!E8+D13*'Enemies'!E9+E13*'Enemies'!E10+F13*'Enemies'!E11</x:f>
        <x:v>7.34</x:v>
      </x:c>
    </x:row>
    <x:row r="14" ht="44" customHeight="1">
      <x:c r="A14" s="23" t="str">
        <x:v>Revenant + Lantern Keeper</x:v>
      </x:c>
      <x:c r="B14" s="7" t="n">
        <x:f>'Unlocks'!B10+'Unlocks'!B11</x:f>
        <x:v>320</x:v>
      </x:c>
      <x:c r="C14" s="27" t="n">
        <x:f>MAX(0,1-SUM(D14:F14))</x:f>
        <x:v>0.66</x:v>
      </x:c>
      <x:c r="D14" s="27" t="n">
        <x:v>0</x:v>
      </x:c>
      <x:c r="E14" s="27" t="n">
        <x:f>'Unlocks'!C10</x:f>
        <x:v>0.18</x:v>
      </x:c>
      <x:c r="F14" s="27" t="n">
        <x:f>'Unlocks'!C11</x:f>
        <x:v>0.16</x:v>
      </x:c>
      <x:c r="G14" s="7" t="n">
        <x:f>C14*'Enemies'!E8+D14*'Enemies'!E9+E14*'Enemies'!E10+F14*'Enemies'!E11</x:f>
        <x:v>9.860000000000001</x:v>
      </x:c>
    </x:row>
    <x:row r="15" ht="44" customHeight="1">
      <x:c r="A15" s="23" t="str">
        <x:v>Wraith + Revenant + Lantern Keeper</x:v>
      </x:c>
      <x:c r="B15" s="7" t="n">
        <x:f>'Unlocks'!B9+'Unlocks'!B10+'Unlocks'!B11</x:f>
        <x:v>410</x:v>
      </x:c>
      <x:c r="C15" s="27" t="n">
        <x:f>MAX(0,1-SUM(D15:F15))</x:f>
        <x:v>0.36</x:v>
      </x:c>
      <x:c r="D15" s="27" t="n">
        <x:f>'Unlocks'!C9</x:f>
        <x:v>0.3</x:v>
      </x:c>
      <x:c r="E15" s="27" t="n">
        <x:f>'Unlocks'!C10</x:f>
        <x:v>0.18</x:v>
      </x:c>
      <x:c r="F15" s="27" t="n">
        <x:f>'Unlocks'!C11</x:f>
        <x:v>0.16</x:v>
      </x:c>
      <x:c r="G15" s="7" t="n">
        <x:f>C15*'Enemies'!E8+D15*'Enemies'!E9+E15*'Enemies'!E10+F15*'Enemies'!E11</x:f>
        <x:v>10.76</x:v>
      </x:c>
    </x:row>
  </x:sheetData>
  <x:pageMargins left="0.7" right="0.7" top="0.75" bottom="0.75" header="0.3" footer="0.3"/>
  <x:tableParts count="1">
    <x:tablePart xmlns:r="http://schemas.openxmlformats.org/officeDocument/2006/relationships" r:id="R5cd5fa06b4454ea7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6" hidden="0" customWidth="1"/>
    <x:col min="2" max="2" width="22" hidden="0" customWidth="1"/>
    <x:col min="3" max="3" width="25" hidden="0" customWidth="1"/>
    <x:col min="4" max="4" width="70" hidden="0" customWidth="1"/>
  </x:cols>
  <x:sheetData>
    <x:row r="1">
      <x:c r="A1" s="2" t="str">
        <x:v>Unlocks</x:v>
      </x:c>
      <x:c r="B1" s="1"/>
      <x:c r="C1" s="1"/>
      <x:c r="D1" s="1"/>
    </x:row>
    <x:row r="2">
      <x:c r="A2" s="3" t="str">
        <x:v>Unlocks are purchased separately at each rift and do not increase total spawn rate.</x:v>
      </x:c>
      <x:c r="B2" s="3"/>
      <x:c r="C2" s="3"/>
      <x:c r="D2" s="3"/>
    </x:row>
    <x:row r="3">
      <x:c r="A3" s="3" t="str">
        <x:v>Source: balance.gd: UNLOCK_COSTS, ENEMY_SHARES; economy.gd: unlock</x:v>
      </x:c>
      <x:c r="B3" s="3"/>
      <x:c r="C3" s="3"/>
      <x:c r="D3" s="3"/>
    </x:row>
    <x:row r="4">
      <x:c r="A4" s="1"/>
      <x:c r="B4" s="1"/>
      <x:c r="C4" s="1"/>
      <x:c r="D4" s="1"/>
    </x:row>
    <x:row r="5">
      <x:c r="A5" s="1"/>
      <x:c r="B5" s="1"/>
      <x:c r="C5" s="1"/>
      <x:c r="D5" s="1"/>
    </x:row>
    <x:row r="6">
      <x:c r="A6" s="1"/>
      <x:c r="B6" s="1"/>
      <x:c r="C6" s="1"/>
      <x:c r="D6" s="1"/>
    </x:row>
    <x:row r="7" ht="45" customHeight="1">
      <x:c r="A7" s="22" t="str">
        <x:v>Enemy</x:v>
      </x:c>
      <x:c r="B7" s="22" t="str">
        <x:v>Price (gold)</x:v>
      </x:c>
      <x:c r="C7" s="22" t="str">
        <x:v>Share once unlocked</x:v>
      </x:c>
      <x:c r="D7" s="22" t="str">
        <x:v>Rule</x:v>
      </x:c>
    </x:row>
    <x:row r="8" ht="33" customHeight="1">
      <x:c r="A8" s="7" t="str">
        <x:v>Hollow</x:v>
      </x:c>
      <x:c r="B8" s="7" t="n">
        <x:v>0</x:v>
      </x:c>
      <x:c r="C8" s="7"/>
      <x:c r="D8" s="7" t="str">
        <x:v>Default enemy; remaining share after unlocked types.</x:v>
      </x:c>
    </x:row>
    <x:row r="9" ht="33" customHeight="1">
      <x:c r="A9" s="7" t="str">
        <x:v>Wraith</x:v>
      </x:c>
      <x:c r="B9" s="7" t="n">
        <x:v>90</x:v>
      </x:c>
      <x:c r="C9" s="27" t="n">
        <x:v>0.3</x:v>
      </x:c>
      <x:c r="D9" s="7" t="str">
        <x:v>Fixed share replaces some Hollows at this rift.</x:v>
      </x:c>
    </x:row>
    <x:row r="10" ht="33" customHeight="1">
      <x:c r="A10" s="7" t="str">
        <x:v>Revenant</x:v>
      </x:c>
      <x:c r="B10" s="7" t="n">
        <x:v>180</x:v>
      </x:c>
      <x:c r="C10" s="27" t="n">
        <x:v>0.18</x:v>
      </x:c>
      <x:c r="D10" s="7" t="str">
        <x:v>Fixed share replaces some Hollows at this rift.</x:v>
      </x:c>
    </x:row>
    <x:row r="11" ht="33" customHeight="1">
      <x:c r="A11" s="7" t="str">
        <x:v>Lantern Keeper</x:v>
      </x:c>
      <x:c r="B11" s="7" t="n">
        <x:v>140</x:v>
      </x:c>
      <x:c r="C11" s="27" t="n">
        <x:v>0.16</x:v>
      </x:c>
      <x:c r="D11" s="7" t="str">
        <x:v>Fixed share replaces some Hollows at this rift.</x:v>
      </x:c>
    </x:row>
  </x:sheetData>
  <x:pageMargins left="0.7" right="0.7" top="0.75" bottom="0.75" header="0.3" footer="0.3"/>
  <x:tableParts count="1">
    <x:tablePart xmlns:r="http://schemas.openxmlformats.org/officeDocument/2006/relationships" r:id="Reb3a38abf0fc425c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2" hidden="0" customWidth="1"/>
    <x:col min="2" max="2" width="19" hidden="0" customWidth="1"/>
    <x:col min="3" max="3" width="20" hidden="0" customWidth="1"/>
    <x:col min="4" max="4" width="26" hidden="0" customWidth="1"/>
    <x:col min="5" max="5" width="26" hidden="0" customWidth="1"/>
    <x:col min="6" max="6" width="24" hidden="0" customWidth="1"/>
    <x:col min="7" max="7" width="28" hidden="0" customWidth="1"/>
  </x:cols>
  <x:sheetData>
    <x:row r="1">
      <x:c r="A1" s="2" t="str">
        <x:v>Traffic</x:v>
      </x:c>
      <x:c r="B1" s="1"/>
      <x:c r="C1" s="1"/>
      <x:c r="D1" s="1"/>
      <x:c r="E1" s="1"/>
      <x:c r="F1" s="1"/>
      <x:c r="G1" s="1"/>
    </x:row>
    <x:row r="2">
      <x:c r="A2" s="3" t="str">
        <x:v>Per rift, levels 0–12. Gold/min assumes 100% kills; actual income depends on towers and escapes.</x:v>
      </x:c>
      <x:c r="B2" s="3"/>
      <x:c r="C2" s="3"/>
      <x:c r="D2" s="3"/>
      <x:c r="E2" s="3"/>
      <x:c r="F2" s="3"/>
      <x:c r="G2" s="3"/>
    </x:row>
    <x:row r="3">
      <x:c r="A3" s="3" t="str">
        <x:v>Source: balance.gd: traffic_period; economy.gd: traffic_cost; Enemy Mix</x:v>
      </x:c>
      <x:c r="B3" s="3"/>
      <x:c r="C3" s="3"/>
      <x:c r="D3" s="3"/>
      <x:c r="E3" s="3"/>
      <x:c r="F3" s="3"/>
      <x:c r="G3" s="3"/>
    </x:row>
    <x:row r="4">
      <x:c r="A4" s="1" t="str">
        <x:v>Next upgrade = 0 at maximum level means unavailable, not a free upgrade.</x:v>
      </x:c>
      <x:c r="B4" s="1"/>
      <x:c r="C4" s="1"/>
      <x:c r="D4" s="1"/>
      <x:c r="E4" s="1"/>
      <x:c r="F4" s="1"/>
      <x:c r="G4" s="1"/>
    </x:row>
    <x:row r="5">
      <x:c r="A5" s="1"/>
      <x:c r="B5" s="1"/>
      <x:c r="C5" s="1"/>
      <x:c r="D5" s="1"/>
      <x:c r="E5" s="1"/>
      <x:c r="F5" s="1"/>
      <x:c r="G5" s="1"/>
    </x:row>
    <x:row r="6">
      <x:c r="A6" s="1"/>
      <x:c r="B6" s="1"/>
      <x:c r="C6" s="1"/>
      <x:c r="D6" s="1"/>
      <x:c r="E6" s="1"/>
      <x:c r="F6" s="1"/>
      <x:c r="G6" s="1"/>
    </x:row>
    <x:row r="7" ht="45" customHeight="1">
      <x:c r="A7" s="22" t="str">
        <x:v>Level</x:v>
      </x:c>
      <x:c r="B7" s="22" t="str">
        <x:v>Interval (s)</x:v>
      </x:c>
      <x:c r="C7" s="22" t="str">
        <x:v>Spawns / min</x:v>
      </x:c>
      <x:c r="D7" s="22" t="str">
        <x:v>Next upgrade (gold)</x:v>
      </x:c>
      <x:c r="E7" s="22" t="str">
        <x:v>Spent to level (gold)</x:v>
      </x:c>
      <x:c r="F7" s="22" t="str">
        <x:v>Hollow gold/min</x:v>
      </x:c>
      <x:c r="G7" s="22" t="str">
        <x:v>All unlocks gold/min</x:v>
      </x:c>
    </x:row>
    <x:row r="8" ht="33" customHeight="1">
      <x:c r="A8" s="7" t="n">
        <x:v>0</x:v>
      </x:c>
      <x:c r="B8" s="28" t="n">
        <x:f>'Gold Economy'!$B$20/(1+A8*'Gold Economy'!$B$21)</x:f>
        <x:v>4.25</x:v>
      </x:c>
      <x:c r="C8" s="28" t="n">
        <x:f>60/B8</x:f>
        <x:v>14.117647058823529</x:v>
      </x:c>
      <x:c r="D8" s="25" t="n">
        <x:f>IF(A8&lt;'Gold Economy'!$B$22,ROUNDUP('Gold Economy'!$B$23*'Gold Economy'!$B$24^A8,0),0)</x:f>
        <x:v>80</x:v>
      </x:c>
      <x:c r="E8" s="25" t="n">
        <x:f>0</x:f>
        <x:v>0</x:v>
      </x:c>
      <x:c r="F8" s="26" t="n">
        <x:f>C8*'Enemy Mix'!G8</x:f>
        <x:v>70.58823529411765</x:v>
      </x:c>
      <x:c r="G8" s="26" t="n">
        <x:f>C8*'Enemy Mix'!G15</x:f>
        <x:v>151.90588235294118</x:v>
      </x:c>
    </x:row>
    <x:row r="9" ht="33" customHeight="1">
      <x:c r="A9" s="7" t="n">
        <x:v>1</x:v>
      </x:c>
      <x:c r="B9" s="28" t="n">
        <x:f>'Gold Economy'!$B$20/(1+A9*'Gold Economy'!$B$21)</x:f>
        <x:v>3.4</x:v>
      </x:c>
      <x:c r="C9" s="28" t="n">
        <x:f>60/B9</x:f>
        <x:v>17.647058823529413</x:v>
      </x:c>
      <x:c r="D9" s="25" t="n">
        <x:f>IF(A9&lt;'Gold Economy'!$B$22,ROUNDUP('Gold Economy'!$B$23*'Gold Economy'!$B$24^A9,0),0)</x:f>
        <x:v>144</x:v>
      </x:c>
      <x:c r="E9" s="25" t="n">
        <x:f>E8+D8</x:f>
        <x:v>80</x:v>
      </x:c>
      <x:c r="F9" s="26" t="n">
        <x:f>C9*'Enemy Mix'!G8</x:f>
        <x:v>88.23529411764707</x:v>
      </x:c>
      <x:c r="G9" s="26" t="n">
        <x:f>C9*'Enemy Mix'!G15</x:f>
        <x:v>189.8823529411765</x:v>
      </x:c>
    </x:row>
    <x:row r="10" ht="33" customHeight="1">
      <x:c r="A10" s="7" t="n">
        <x:v>2</x:v>
      </x:c>
      <x:c r="B10" s="28" t="n">
        <x:f>'Gold Economy'!$B$20/(1+A10*'Gold Economy'!$B$21)</x:f>
        <x:v>2.8333333333333335</x:v>
      </x:c>
      <x:c r="C10" s="28" t="n">
        <x:f>60/B10</x:f>
        <x:v>21.176470588235293</x:v>
      </x:c>
      <x:c r="D10" s="25" t="n">
        <x:f>IF(A10&lt;'Gold Economy'!$B$22,ROUNDUP('Gold Economy'!$B$23*'Gold Economy'!$B$24^A10,0),0)</x:f>
        <x:v>260</x:v>
      </x:c>
      <x:c r="E10" s="25" t="n">
        <x:f>E9+D9</x:f>
        <x:v>224</x:v>
      </x:c>
      <x:c r="F10" s="26" t="n">
        <x:f>C10*'Enemy Mix'!G8</x:f>
        <x:v>105.88235294117646</x:v>
      </x:c>
      <x:c r="G10" s="26" t="n">
        <x:f>C10*'Enemy Mix'!G15</x:f>
        <x:v>227.85882352941175</x:v>
      </x:c>
    </x:row>
    <x:row r="11" ht="33" customHeight="1">
      <x:c r="A11" s="7" t="n">
        <x:v>3</x:v>
      </x:c>
      <x:c r="B11" s="28" t="n">
        <x:f>'Gold Economy'!$B$20/(1+A11*'Gold Economy'!$B$21)</x:f>
        <x:v>2.4285714285714284</x:v>
      </x:c>
      <x:c r="C11" s="28" t="n">
        <x:f>60/B11</x:f>
        <x:v>24.705882352941178</x:v>
      </x:c>
      <x:c r="D11" s="25" t="n">
        <x:f>IF(A11&lt;'Gold Economy'!$B$22,ROUNDUP('Gold Economy'!$B$23*'Gold Economy'!$B$24^A11,0),0)</x:f>
        <x:v>467</x:v>
      </x:c>
      <x:c r="E11" s="25" t="n">
        <x:f>E10+D10</x:f>
        <x:v>484</x:v>
      </x:c>
      <x:c r="F11" s="26" t="n">
        <x:f>C11*'Enemy Mix'!G8</x:f>
        <x:v>123.52941176470588</x:v>
      </x:c>
      <x:c r="G11" s="26" t="n">
        <x:f>C11*'Enemy Mix'!G15</x:f>
        <x:v>265.83529411764704</x:v>
      </x:c>
    </x:row>
    <x:row r="12" ht="33" customHeight="1">
      <x:c r="A12" s="7" t="n">
        <x:v>4</x:v>
      </x:c>
      <x:c r="B12" s="28" t="n">
        <x:f>'Gold Economy'!$B$20/(1+A12*'Gold Economy'!$B$21)</x:f>
        <x:v>2.125</x:v>
      </x:c>
      <x:c r="C12" s="28" t="n">
        <x:f>60/B12</x:f>
        <x:v>28.235294117647058</x:v>
      </x:c>
      <x:c r="D12" s="25" t="n">
        <x:f>IF(A12&lt;'Gold Economy'!$B$22,ROUNDUP('Gold Economy'!$B$23*'Gold Economy'!$B$24^A12,0),0)</x:f>
        <x:v>840</x:v>
      </x:c>
      <x:c r="E12" s="25" t="n">
        <x:f>E11+D11</x:f>
        <x:v>951</x:v>
      </x:c>
      <x:c r="F12" s="26" t="n">
        <x:f>C12*'Enemy Mix'!G8</x:f>
        <x:v>141.1764705882353</x:v>
      </x:c>
      <x:c r="G12" s="26" t="n">
        <x:f>C12*'Enemy Mix'!G15</x:f>
        <x:v>303.81176470588235</x:v>
      </x:c>
    </x:row>
    <x:row r="13" ht="33" customHeight="1">
      <x:c r="A13" s="7" t="n">
        <x:v>5</x:v>
      </x:c>
      <x:c r="B13" s="28" t="n">
        <x:f>'Gold Economy'!$B$20/(1+A13*'Gold Economy'!$B$21)</x:f>
        <x:v>1.8888888888888888</x:v>
      </x:c>
      <x:c r="C13" s="28" t="n">
        <x:f>60/B13</x:f>
        <x:v>31.764705882352942</x:v>
      </x:c>
      <x:c r="D13" s="25" t="n">
        <x:f>IF(A13&lt;'Gold Economy'!$B$22,ROUNDUP('Gold Economy'!$B$23*'Gold Economy'!$B$24^A13,0),0)</x:f>
        <x:v>1512</x:v>
      </x:c>
      <x:c r="E13" s="25" t="n">
        <x:f>E12+D12</x:f>
        <x:v>1791</x:v>
      </x:c>
      <x:c r="F13" s="26" t="n">
        <x:f>C13*'Enemy Mix'!G8</x:f>
        <x:v>158.8235294117647</x:v>
      </x:c>
      <x:c r="G13" s="26" t="n">
        <x:f>C13*'Enemy Mix'!G15</x:f>
        <x:v>341.78823529411767</x:v>
      </x:c>
    </x:row>
    <x:row r="14" ht="33" customHeight="1">
      <x:c r="A14" s="7" t="n">
        <x:v>6</x:v>
      </x:c>
      <x:c r="B14" s="28" t="n">
        <x:f>'Gold Economy'!$B$20/(1+A14*'Gold Economy'!$B$21)</x:f>
        <x:v>1.7</x:v>
      </x:c>
      <x:c r="C14" s="28" t="n">
        <x:f>60/B14</x:f>
        <x:v>35.294117647058826</x:v>
      </x:c>
      <x:c r="D14" s="25" t="n">
        <x:f>IF(A14&lt;'Gold Economy'!$B$22,ROUNDUP('Gold Economy'!$B$23*'Gold Economy'!$B$24^A14,0),0)</x:f>
        <x:v>2721</x:v>
      </x:c>
      <x:c r="E14" s="25" t="n">
        <x:f>E13+D13</x:f>
        <x:v>3303</x:v>
      </x:c>
      <x:c r="F14" s="26" t="n">
        <x:f>C14*'Enemy Mix'!G8</x:f>
        <x:v>176.47058823529414</x:v>
      </x:c>
      <x:c r="G14" s="26" t="n">
        <x:f>C14*'Enemy Mix'!G15</x:f>
        <x:v>379.764705882353</x:v>
      </x:c>
    </x:row>
    <x:row r="15" ht="33" customHeight="1">
      <x:c r="A15" s="7" t="n">
        <x:v>7</x:v>
      </x:c>
      <x:c r="B15" s="28" t="n">
        <x:f>'Gold Economy'!$B$20/(1+A15*'Gold Economy'!$B$21)</x:f>
        <x:v>1.5454545454545454</x:v>
      </x:c>
      <x:c r="C15" s="28" t="n">
        <x:f>60/B15</x:f>
        <x:v>38.82352941176471</x:v>
      </x:c>
      <x:c r="D15" s="25" t="n">
        <x:f>IF(A15&lt;'Gold Economy'!$B$22,ROUNDUP('Gold Economy'!$B$23*'Gold Economy'!$B$24^A15,0),0)</x:f>
        <x:v>4898</x:v>
      </x:c>
      <x:c r="E15" s="25" t="n">
        <x:f>E14+D14</x:f>
        <x:v>6024</x:v>
      </x:c>
      <x:c r="F15" s="26" t="n">
        <x:f>C15*'Enemy Mix'!G8</x:f>
        <x:v>194.11764705882354</x:v>
      </x:c>
      <x:c r="G15" s="26" t="n">
        <x:f>C15*'Enemy Mix'!G15</x:f>
        <x:v>417.7411764705883</x:v>
      </x:c>
    </x:row>
    <x:row r="16" ht="33" customHeight="1">
      <x:c r="A16" s="7" t="n">
        <x:v>8</x:v>
      </x:c>
      <x:c r="B16" s="28" t="n">
        <x:f>'Gold Economy'!$B$20/(1+A16*'Gold Economy'!$B$21)</x:f>
        <x:v>1.4166666666666667</x:v>
      </x:c>
      <x:c r="C16" s="28" t="n">
        <x:f>60/B16</x:f>
        <x:v>42.35294117647059</x:v>
      </x:c>
      <x:c r="D16" s="25" t="n">
        <x:f>IF(A16&lt;'Gold Economy'!$B$22,ROUNDUP('Gold Economy'!$B$23*'Gold Economy'!$B$24^A16,0),0)</x:f>
        <x:v>8816</x:v>
      </x:c>
      <x:c r="E16" s="25" t="n">
        <x:f>E15+D15</x:f>
        <x:v>10922</x:v>
      </x:c>
      <x:c r="F16" s="26" t="n">
        <x:f>C16*'Enemy Mix'!G8</x:f>
        <x:v>211.76470588235293</x:v>
      </x:c>
      <x:c r="G16" s="26" t="n">
        <x:f>C16*'Enemy Mix'!G15</x:f>
        <x:v>455.7176470588235</x:v>
      </x:c>
    </x:row>
    <x:row r="17" ht="33" customHeight="1">
      <x:c r="A17" s="7" t="n">
        <x:v>9</x:v>
      </x:c>
      <x:c r="B17" s="28" t="n">
        <x:f>'Gold Economy'!$B$20/(1+A17*'Gold Economy'!$B$21)</x:f>
        <x:v>1.3076923076923077</x:v>
      </x:c>
      <x:c r="C17" s="28" t="n">
        <x:f>60/B17</x:f>
        <x:v>45.88235294117647</x:v>
      </x:c>
      <x:c r="D17" s="25" t="n">
        <x:f>IF(A17&lt;'Gold Economy'!$B$22,ROUNDUP('Gold Economy'!$B$23*'Gold Economy'!$B$24^A17,0),0)</x:f>
        <x:v>15869</x:v>
      </x:c>
      <x:c r="E17" s="25" t="n">
        <x:f>E16+D16</x:f>
        <x:v>19738</x:v>
      </x:c>
      <x:c r="F17" s="26" t="n">
        <x:f>C17*'Enemy Mix'!G8</x:f>
        <x:v>229.41176470588235</x:v>
      </x:c>
      <x:c r="G17" s="26" t="n">
        <x:f>C17*'Enemy Mix'!G15</x:f>
        <x:v>493.6941176470588</x:v>
      </x:c>
    </x:row>
    <x:row r="18" ht="33" customHeight="1">
      <x:c r="A18" s="7" t="n">
        <x:v>10</x:v>
      </x:c>
      <x:c r="B18" s="28" t="n">
        <x:f>'Gold Economy'!$B$20/(1+A18*'Gold Economy'!$B$21)</x:f>
        <x:v>1.2142857142857142</x:v>
      </x:c>
      <x:c r="C18" s="28" t="n">
        <x:f>60/B18</x:f>
        <x:v>49.411764705882355</x:v>
      </x:c>
      <x:c r="D18" s="25" t="n">
        <x:f>IF(A18&lt;'Gold Economy'!$B$22,ROUNDUP('Gold Economy'!$B$23*'Gold Economy'!$B$24^A18,0),0)</x:f>
        <x:v>28564</x:v>
      </x:c>
      <x:c r="E18" s="25" t="n">
        <x:f>E17+D17</x:f>
        <x:v>35607</x:v>
      </x:c>
      <x:c r="F18" s="26" t="n">
        <x:f>C18*'Enemy Mix'!G8</x:f>
        <x:v>247.05882352941177</x:v>
      </x:c>
      <x:c r="G18" s="26" t="n">
        <x:f>C18*'Enemy Mix'!G15</x:f>
        <x:v>531.6705882352941</x:v>
      </x:c>
    </x:row>
    <x:row r="19" ht="33" customHeight="1">
      <x:c r="A19" s="7" t="n">
        <x:v>11</x:v>
      </x:c>
      <x:c r="B19" s="28" t="n">
        <x:f>'Gold Economy'!$B$20/(1+A19*'Gold Economy'!$B$21)</x:f>
        <x:v>1.1333333333333333</x:v>
      </x:c>
      <x:c r="C19" s="28" t="n">
        <x:f>60/B19</x:f>
        <x:v>52.94117647058824</x:v>
      </x:c>
      <x:c r="D19" s="25" t="n">
        <x:f>IF(A19&lt;'Gold Economy'!$B$22,ROUNDUP('Gold Economy'!$B$23*'Gold Economy'!$B$24^A19,0),0)</x:f>
        <x:v>51415</x:v>
      </x:c>
      <x:c r="E19" s="25" t="n">
        <x:f>E18+D18</x:f>
        <x:v>64171</x:v>
      </x:c>
      <x:c r="F19" s="26" t="n">
        <x:f>C19*'Enemy Mix'!G8</x:f>
        <x:v>264.7058823529412</x:v>
      </x:c>
      <x:c r="G19" s="26" t="n">
        <x:f>C19*'Enemy Mix'!G15</x:f>
        <x:v>569.6470588235294</x:v>
      </x:c>
    </x:row>
    <x:row r="20" ht="33" customHeight="1">
      <x:c r="A20" s="7" t="n">
        <x:v>12</x:v>
      </x:c>
      <x:c r="B20" s="28" t="n">
        <x:f>'Gold Economy'!$B$20/(1+A20*'Gold Economy'!$B$21)</x:f>
        <x:v>1.0625</x:v>
      </x:c>
      <x:c r="C20" s="28" t="n">
        <x:f>60/B20</x:f>
        <x:v>56.470588235294116</x:v>
      </x:c>
      <x:c r="D20" s="25" t="n">
        <x:f>IF(A20&lt;'Gold Economy'!$B$22,ROUNDUP('Gold Economy'!$B$23*'Gold Economy'!$B$24^A20,0),0)</x:f>
        <x:v>0</x:v>
      </x:c>
      <x:c r="E20" s="25" t="n">
        <x:f>E19+D19</x:f>
        <x:v>115586</x:v>
      </x:c>
      <x:c r="F20" s="26" t="n">
        <x:f>C20*'Enemy Mix'!G8</x:f>
        <x:v>282.3529411764706</x:v>
      </x:c>
      <x:c r="G20" s="26" t="n">
        <x:f>C20*'Enemy Mix'!G15</x:f>
        <x:v>607.6235294117647</x:v>
      </x:c>
    </x:row>
  </x:sheetData>
  <x:pageMargins left="0.7" right="0.7" top="0.75" bottom="0.75" header="0.3" footer="0.3"/>
  <x:tableParts count="1">
    <x:tablePart xmlns:r="http://schemas.openxmlformats.org/officeDocument/2006/relationships" r:id="R566e8f6593e84c1a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9" hidden="0" customWidth="1"/>
    <x:col min="2" max="2" width="31" hidden="0" customWidth="1"/>
    <x:col min="3" max="3" width="39" hidden="0" customWidth="1"/>
  </x:cols>
  <x:sheetData>
    <x:row r="1">
      <x:c r="A1" s="2" t="str">
        <x:v>Expansion</x:v>
      </x:c>
      <x:c r="B1" s="1"/>
      <x:c r="C1" s="1"/>
    </x:row>
    <x:row r="2">
      <x:c r="A2" s="3" t="str">
        <x:v>First 100 purchases. Owned count includes the starting core; formula continues beyond this preview.</x:v>
      </x:c>
      <x:c r="B2" s="3"/>
      <x:c r="C2" s="3"/>
    </x:row>
    <x:row r="3">
      <x:c r="A3" s="3" t="str">
        <x:v>Source: balance.gd: expansion_cost; game_state.gd: expand</x:v>
      </x:c>
      <x:c r="B3" s="3"/>
      <x:c r="C3" s="3"/>
    </x:row>
    <x:row r="4">
      <x:c r="A4" s="1"/>
      <x:c r="B4" s="1"/>
      <x:c r="C4" s="1"/>
    </x:row>
    <x:row r="5">
      <x:c r="A5" s="1"/>
      <x:c r="B5" s="1"/>
      <x:c r="C5" s="1"/>
    </x:row>
    <x:row r="6">
      <x:c r="A6" s="1"/>
      <x:c r="B6" s="1"/>
      <x:c r="C6" s="1"/>
    </x:row>
    <x:row r="7" ht="45" customHeight="1">
      <x:c r="A7" s="22" t="str">
        <x:v>Owned regions before</x:v>
      </x:c>
      <x:c r="B7" s="22" t="str">
        <x:v>Next purchase (gold)</x:v>
      </x:c>
      <x:c r="C7" s="22" t="str">
        <x:v>Total expansion spend (gold)</x:v>
      </x:c>
    </x:row>
    <x:row r="8" ht="33" customHeight="1">
      <x:c r="A8" s="25" t="n">
        <x:v>1</x:v>
      </x:c>
      <x:c r="B8" s="25" t="n">
        <x:f>ROUNDUP('Gold Economy'!$B$25*A8^'Gold Economy'!$B$26,0)</x:f>
        <x:v>100</x:v>
      </x:c>
      <x:c r="C8" s="25" t="n">
        <x:f>B8</x:f>
        <x:v>100</x:v>
      </x:c>
    </x:row>
    <x:row r="9" ht="33" customHeight="1">
      <x:c r="A9" s="25" t="n">
        <x:v>2</x:v>
      </x:c>
      <x:c r="B9" s="25" t="n">
        <x:f>ROUNDUP('Gold Economy'!$B$25*A9^'Gold Economy'!$B$26,0)</x:f>
        <x:v>255</x:v>
      </x:c>
      <x:c r="C9" s="25" t="n">
        <x:f>C8+B9</x:f>
        <x:v>355</x:v>
      </x:c>
    </x:row>
    <x:row r="10" ht="33" customHeight="1">
      <x:c r="A10" s="25" t="n">
        <x:v>3</x:v>
      </x:c>
      <x:c r="B10" s="25" t="n">
        <x:f>ROUNDUP('Gold Economy'!$B$25*A10^'Gold Economy'!$B$26,0)</x:f>
        <x:v>441</x:v>
      </x:c>
      <x:c r="C10" s="25" t="n">
        <x:f>C9+B10</x:f>
        <x:v>796</x:v>
      </x:c>
    </x:row>
    <x:row r="11" ht="33" customHeight="1">
      <x:c r="A11" s="25" t="n">
        <x:v>4</x:v>
      </x:c>
      <x:c r="B11" s="25" t="n">
        <x:f>ROUNDUP('Gold Economy'!$B$25*A11^'Gold Economy'!$B$26,0)</x:f>
        <x:v>650</x:v>
      </x:c>
      <x:c r="C11" s="25" t="n">
        <x:f>C10+B11</x:f>
        <x:v>1446</x:v>
      </x:c>
    </x:row>
    <x:row r="12" ht="33" customHeight="1">
      <x:c r="A12" s="25" t="n">
        <x:v>5</x:v>
      </x:c>
      <x:c r="B12" s="25" t="n">
        <x:f>ROUNDUP('Gold Economy'!$B$25*A12^'Gold Economy'!$B$26,0)</x:f>
        <x:v>879</x:v>
      </x:c>
      <x:c r="C12" s="25" t="n">
        <x:f>C11+B12</x:f>
        <x:v>2325</x:v>
      </x:c>
    </x:row>
    <x:row r="13" ht="33" customHeight="1">
      <x:c r="A13" s="25" t="n">
        <x:v>6</x:v>
      </x:c>
      <x:c r="B13" s="25" t="n">
        <x:f>ROUNDUP('Gold Economy'!$B$25*A13^'Gold Economy'!$B$26,0)</x:f>
        <x:v>1124</x:v>
      </x:c>
      <x:c r="C13" s="25" t="n">
        <x:f>C12+B13</x:f>
        <x:v>3449</x:v>
      </x:c>
    </x:row>
    <x:row r="14" ht="33" customHeight="1">
      <x:c r="A14" s="25" t="n">
        <x:v>7</x:v>
      </x:c>
      <x:c r="B14" s="25" t="n">
        <x:f>ROUNDUP('Gold Economy'!$B$25*A14^'Gold Economy'!$B$26,0)</x:f>
        <x:v>1384</x:v>
      </x:c>
      <x:c r="C14" s="25" t="n">
        <x:f>C13+B14</x:f>
        <x:v>4833</x:v>
      </x:c>
    </x:row>
    <x:row r="15" ht="33" customHeight="1">
      <x:c r="A15" s="25" t="n">
        <x:v>8</x:v>
      </x:c>
      <x:c r="B15" s="25" t="n">
        <x:f>ROUNDUP('Gold Economy'!$B$25*A15^'Gold Economy'!$B$26,0)</x:f>
        <x:v>1657</x:v>
      </x:c>
      <x:c r="C15" s="25" t="n">
        <x:f>C14+B15</x:f>
        <x:v>6490</x:v>
      </x:c>
    </x:row>
    <x:row r="16" ht="33" customHeight="1">
      <x:c r="A16" s="25" t="n">
        <x:v>9</x:v>
      </x:c>
      <x:c r="B16" s="25" t="n">
        <x:f>ROUNDUP('Gold Economy'!$B$25*A16^'Gold Economy'!$B$26,0)</x:f>
        <x:v>1942</x:v>
      </x:c>
      <x:c r="C16" s="25" t="n">
        <x:f>C15+B16</x:f>
        <x:v>8432</x:v>
      </x:c>
    </x:row>
    <x:row r="17" ht="33" customHeight="1">
      <x:c r="A17" s="25" t="n">
        <x:v>10</x:v>
      </x:c>
      <x:c r="B17" s="25" t="n">
        <x:f>ROUNDUP('Gold Economy'!$B$25*A17^'Gold Economy'!$B$26,0)</x:f>
        <x:v>2239</x:v>
      </x:c>
      <x:c r="C17" s="25" t="n">
        <x:f>C16+B17</x:f>
        <x:v>10671</x:v>
      </x:c>
    </x:row>
    <x:row r="18" ht="33" customHeight="1">
      <x:c r="A18" s="25" t="n">
        <x:v>11</x:v>
      </x:c>
      <x:c r="B18" s="25" t="n">
        <x:f>ROUNDUP('Gold Economy'!$B$25*A18^'Gold Economy'!$B$26,0)</x:f>
        <x:v>2547</x:v>
      </x:c>
      <x:c r="C18" s="25" t="n">
        <x:f>C17+B18</x:f>
        <x:v>13218</x:v>
      </x:c>
    </x:row>
    <x:row r="19" ht="33" customHeight="1">
      <x:c r="A19" s="25" t="n">
        <x:v>12</x:v>
      </x:c>
      <x:c r="B19" s="25" t="n">
        <x:f>ROUNDUP('Gold Economy'!$B$25*A19^'Gold Economy'!$B$26,0)</x:f>
        <x:v>2864</x:v>
      </x:c>
      <x:c r="C19" s="25" t="n">
        <x:f>C18+B19</x:f>
        <x:v>16082</x:v>
      </x:c>
    </x:row>
    <x:row r="20" ht="33" customHeight="1">
      <x:c r="A20" s="25" t="n">
        <x:v>13</x:v>
      </x:c>
      <x:c r="B20" s="25" t="n">
        <x:f>ROUNDUP('Gold Economy'!$B$25*A20^'Gold Economy'!$B$26,0)</x:f>
        <x:v>3191</x:v>
      </x:c>
      <x:c r="C20" s="25" t="n">
        <x:f>C19+B20</x:f>
        <x:v>19273</x:v>
      </x:c>
    </x:row>
    <x:row r="21" ht="33" customHeight="1">
      <x:c r="A21" s="25" t="n">
        <x:v>14</x:v>
      </x:c>
      <x:c r="B21" s="25" t="n">
        <x:f>ROUNDUP('Gold Economy'!$B$25*A21^'Gold Economy'!$B$26,0)</x:f>
        <x:v>3526</x:v>
      </x:c>
      <x:c r="C21" s="25" t="n">
        <x:f>C20+B21</x:f>
        <x:v>22799</x:v>
      </x:c>
    </x:row>
    <x:row r="22" ht="33" customHeight="1">
      <x:c r="A22" s="25" t="n">
        <x:v>15</x:v>
      </x:c>
      <x:c r="B22" s="25" t="n">
        <x:f>ROUNDUP('Gold Economy'!$B$25*A22^'Gold Economy'!$B$26,0)</x:f>
        <x:v>3871</x:v>
      </x:c>
      <x:c r="C22" s="25" t="n">
        <x:f>C21+B22</x:f>
        <x:v>26670</x:v>
      </x:c>
    </x:row>
    <x:row r="23" ht="33" customHeight="1">
      <x:c r="A23" s="25" t="n">
        <x:v>16</x:v>
      </x:c>
      <x:c r="B23" s="25" t="n">
        <x:f>ROUNDUP('Gold Economy'!$B$25*A23^'Gold Economy'!$B$26,0)</x:f>
        <x:v>4223</x:v>
      </x:c>
      <x:c r="C23" s="25" t="n">
        <x:f>C22+B23</x:f>
        <x:v>30893</x:v>
      </x:c>
    </x:row>
    <x:row r="24" ht="33" customHeight="1">
      <x:c r="A24" s="25" t="n">
        <x:v>17</x:v>
      </x:c>
      <x:c r="B24" s="25" t="n">
        <x:f>ROUNDUP('Gold Economy'!$B$25*A24^'Gold Economy'!$B$26,0)</x:f>
        <x:v>4583</x:v>
      </x:c>
      <x:c r="C24" s="25" t="n">
        <x:f>C23+B24</x:f>
        <x:v>35476</x:v>
      </x:c>
    </x:row>
    <x:row r="25" ht="33" customHeight="1">
      <x:c r="A25" s="25" t="n">
        <x:v>18</x:v>
      </x:c>
      <x:c r="B25" s="25" t="n">
        <x:f>ROUNDUP('Gold Economy'!$B$25*A25^'Gold Economy'!$B$26,0)</x:f>
        <x:v>4951</x:v>
      </x:c>
      <x:c r="C25" s="25" t="n">
        <x:f>C24+B25</x:f>
        <x:v>40427</x:v>
      </x:c>
    </x:row>
    <x:row r="26" ht="33" customHeight="1">
      <x:c r="A26" s="25" t="n">
        <x:v>19</x:v>
      </x:c>
      <x:c r="B26" s="25" t="n">
        <x:f>ROUNDUP('Gold Economy'!$B$25*A26^'Gold Economy'!$B$26,0)</x:f>
        <x:v>5325</x:v>
      </x:c>
      <x:c r="C26" s="25" t="n">
        <x:f>C25+B26</x:f>
        <x:v>45752</x:v>
      </x:c>
    </x:row>
    <x:row r="27" ht="33" customHeight="1">
      <x:c r="A27" s="25" t="n">
        <x:v>20</x:v>
      </x:c>
      <x:c r="B27" s="25" t="n">
        <x:f>ROUNDUP('Gold Economy'!$B$25*A27^'Gold Economy'!$B$26,0)</x:f>
        <x:v>5707</x:v>
      </x:c>
      <x:c r="C27" s="25" t="n">
        <x:f>C26+B27</x:f>
        <x:v>51459</x:v>
      </x:c>
    </x:row>
    <x:row r="28" ht="33" customHeight="1">
      <x:c r="A28" s="25" t="n">
        <x:v>21</x:v>
      </x:c>
      <x:c r="B28" s="25" t="n">
        <x:f>ROUNDUP('Gold Economy'!$B$25*A28^'Gold Economy'!$B$26,0)</x:f>
        <x:v>6096</x:v>
      </x:c>
      <x:c r="C28" s="25" t="n">
        <x:f>C27+B28</x:f>
        <x:v>57555</x:v>
      </x:c>
    </x:row>
    <x:row r="29" ht="33" customHeight="1">
      <x:c r="A29" s="25" t="n">
        <x:v>22</x:v>
      </x:c>
      <x:c r="B29" s="25" t="n">
        <x:f>ROUNDUP('Gold Economy'!$B$25*A29^'Gold Economy'!$B$26,0)</x:f>
        <x:v>6491</x:v>
      </x:c>
      <x:c r="C29" s="25" t="n">
        <x:f>C28+B29</x:f>
        <x:v>64046</x:v>
      </x:c>
    </x:row>
    <x:row r="30" ht="33" customHeight="1">
      <x:c r="A30" s="25" t="n">
        <x:v>23</x:v>
      </x:c>
      <x:c r="B30" s="25" t="n">
        <x:f>ROUNDUP('Gold Economy'!$B$25*A30^'Gold Economy'!$B$26,0)</x:f>
        <x:v>6892</x:v>
      </x:c>
      <x:c r="C30" s="25" t="n">
        <x:f>C29+B30</x:f>
        <x:v>70938</x:v>
      </x:c>
    </x:row>
    <x:row r="31" ht="33" customHeight="1">
      <x:c r="A31" s="25" t="n">
        <x:v>24</x:v>
      </x:c>
      <x:c r="B31" s="25" t="n">
        <x:f>ROUNDUP('Gold Economy'!$B$25*A31^'Gold Economy'!$B$26,0)</x:f>
        <x:v>7300</x:v>
      </x:c>
      <x:c r="C31" s="25" t="n">
        <x:f>C30+B31</x:f>
        <x:v>78238</x:v>
      </x:c>
    </x:row>
    <x:row r="32" ht="33" customHeight="1">
      <x:c r="A32" s="25" t="n">
        <x:v>25</x:v>
      </x:c>
      <x:c r="B32" s="25" t="n">
        <x:f>ROUNDUP('Gold Economy'!$B$25*A32^'Gold Economy'!$B$26,0)</x:f>
        <x:v>7713</x:v>
      </x:c>
      <x:c r="C32" s="25" t="n">
        <x:f>C31+B32</x:f>
        <x:v>85951</x:v>
      </x:c>
    </x:row>
    <x:row r="33" ht="33" customHeight="1">
      <x:c r="A33" s="25" t="n">
        <x:v>26</x:v>
      </x:c>
      <x:c r="B33" s="25" t="n">
        <x:f>ROUNDUP('Gold Economy'!$B$25*A33^'Gold Economy'!$B$26,0)</x:f>
        <x:v>8133</x:v>
      </x:c>
      <x:c r="C33" s="25" t="n">
        <x:f>C32+B33</x:f>
        <x:v>94084</x:v>
      </x:c>
    </x:row>
    <x:row r="34" ht="33" customHeight="1">
      <x:c r="A34" s="25" t="n">
        <x:v>27</x:v>
      </x:c>
      <x:c r="B34" s="25" t="n">
        <x:f>ROUNDUP('Gold Economy'!$B$25*A34^'Gold Economy'!$B$26,0)</x:f>
        <x:v>8558</x:v>
      </x:c>
      <x:c r="C34" s="25" t="n">
        <x:f>C33+B34</x:f>
        <x:v>102642</x:v>
      </x:c>
    </x:row>
    <x:row r="35" ht="33" customHeight="1">
      <x:c r="A35" s="25" t="n">
        <x:v>28</x:v>
      </x:c>
      <x:c r="B35" s="25" t="n">
        <x:f>ROUNDUP('Gold Economy'!$B$25*A35^'Gold Economy'!$B$26,0)</x:f>
        <x:v>8989</x:v>
      </x:c>
      <x:c r="C35" s="25" t="n">
        <x:f>C34+B35</x:f>
        <x:v>111631</x:v>
      </x:c>
    </x:row>
    <x:row r="36" ht="33" customHeight="1">
      <x:c r="A36" s="25" t="n">
        <x:v>29</x:v>
      </x:c>
      <x:c r="B36" s="25" t="n">
        <x:f>ROUNDUP('Gold Economy'!$B$25*A36^'Gold Economy'!$B$26,0)</x:f>
        <x:v>9425</x:v>
      </x:c>
      <x:c r="C36" s="25" t="n">
        <x:f>C35+B36</x:f>
        <x:v>121056</x:v>
      </x:c>
    </x:row>
    <x:row r="37" ht="33" customHeight="1">
      <x:c r="A37" s="25" t="n">
        <x:v>30</x:v>
      </x:c>
      <x:c r="B37" s="25" t="n">
        <x:f>ROUNDUP('Gold Economy'!$B$25*A37^'Gold Economy'!$B$26,0)</x:f>
        <x:v>9866</x:v>
      </x:c>
      <x:c r="C37" s="25" t="n">
        <x:f>C36+B37</x:f>
        <x:v>130922</x:v>
      </x:c>
    </x:row>
    <x:row r="38" ht="33" customHeight="1">
      <x:c r="A38" s="25" t="n">
        <x:v>31</x:v>
      </x:c>
      <x:c r="B38" s="25" t="n">
        <x:f>ROUNDUP('Gold Economy'!$B$25*A38^'Gold Economy'!$B$26,0)</x:f>
        <x:v>10312</x:v>
      </x:c>
      <x:c r="C38" s="25" t="n">
        <x:f>C37+B38</x:f>
        <x:v>141234</x:v>
      </x:c>
    </x:row>
    <x:row r="39" ht="33" customHeight="1">
      <x:c r="A39" s="25" t="n">
        <x:v>32</x:v>
      </x:c>
      <x:c r="B39" s="25" t="n">
        <x:f>ROUNDUP('Gold Economy'!$B$25*A39^'Gold Economy'!$B$26,0)</x:f>
        <x:v>10764</x:v>
      </x:c>
      <x:c r="C39" s="25" t="n">
        <x:f>C38+B39</x:f>
        <x:v>151998</x:v>
      </x:c>
    </x:row>
    <x:row r="40" ht="33" customHeight="1">
      <x:c r="A40" s="25" t="n">
        <x:v>33</x:v>
      </x:c>
      <x:c r="B40" s="25" t="n">
        <x:f>ROUNDUP('Gold Economy'!$B$25*A40^'Gold Economy'!$B$26,0)</x:f>
        <x:v>11221</x:v>
      </x:c>
      <x:c r="C40" s="25" t="n">
        <x:f>C39+B40</x:f>
        <x:v>163219</x:v>
      </x:c>
    </x:row>
    <x:row r="41" ht="33" customHeight="1">
      <x:c r="A41" s="25" t="n">
        <x:v>34</x:v>
      </x:c>
      <x:c r="B41" s="25" t="n">
        <x:f>ROUNDUP('Gold Economy'!$B$25*A41^'Gold Economy'!$B$26,0)</x:f>
        <x:v>11682</x:v>
      </x:c>
      <x:c r="C41" s="25" t="n">
        <x:f>C40+B41</x:f>
        <x:v>174901</x:v>
      </x:c>
    </x:row>
    <x:row r="42" ht="33" customHeight="1">
      <x:c r="A42" s="25" t="n">
        <x:v>35</x:v>
      </x:c>
      <x:c r="B42" s="25" t="n">
        <x:f>ROUNDUP('Gold Economy'!$B$25*A42^'Gold Economy'!$B$26,0)</x:f>
        <x:v>12148</x:v>
      </x:c>
      <x:c r="C42" s="25" t="n">
        <x:f>C41+B42</x:f>
        <x:v>187049</x:v>
      </x:c>
    </x:row>
    <x:row r="43" ht="33" customHeight="1">
      <x:c r="A43" s="25" t="n">
        <x:v>36</x:v>
      </x:c>
      <x:c r="B43" s="25" t="n">
        <x:f>ROUNDUP('Gold Economy'!$B$25*A43^'Gold Economy'!$B$26,0)</x:f>
        <x:v>12619</x:v>
      </x:c>
      <x:c r="C43" s="25" t="n">
        <x:f>C42+B43</x:f>
        <x:v>199668</x:v>
      </x:c>
    </x:row>
    <x:row r="44" ht="33" customHeight="1">
      <x:c r="A44" s="25" t="n">
        <x:v>37</x:v>
      </x:c>
      <x:c r="B44" s="25" t="n">
        <x:f>ROUNDUP('Gold Economy'!$B$25*A44^'Gold Economy'!$B$26,0)</x:f>
        <x:v>13094</x:v>
      </x:c>
      <x:c r="C44" s="25" t="n">
        <x:f>C43+B44</x:f>
        <x:v>212762</x:v>
      </x:c>
    </x:row>
    <x:row r="45" ht="33" customHeight="1">
      <x:c r="A45" s="25" t="n">
        <x:v>38</x:v>
      </x:c>
      <x:c r="B45" s="25" t="n">
        <x:f>ROUNDUP('Gold Economy'!$B$25*A45^'Gold Economy'!$B$26,0)</x:f>
        <x:v>13575</x:v>
      </x:c>
      <x:c r="C45" s="25" t="n">
        <x:f>C44+B45</x:f>
        <x:v>226337</x:v>
      </x:c>
    </x:row>
    <x:row r="46" ht="33" customHeight="1">
      <x:c r="A46" s="25" t="n">
        <x:v>39</x:v>
      </x:c>
      <x:c r="B46" s="25" t="n">
        <x:f>ROUNDUP('Gold Economy'!$B$25*A46^'Gold Economy'!$B$26,0)</x:f>
        <x:v>14059</x:v>
      </x:c>
      <x:c r="C46" s="25" t="n">
        <x:f>C45+B46</x:f>
        <x:v>240396</x:v>
      </x:c>
    </x:row>
    <x:row r="47" ht="33" customHeight="1">
      <x:c r="A47" s="25" t="n">
        <x:v>40</x:v>
      </x:c>
      <x:c r="B47" s="25" t="n">
        <x:f>ROUNDUP('Gold Economy'!$B$25*A47^'Gold Economy'!$B$26,0)</x:f>
        <x:v>14548</x:v>
      </x:c>
      <x:c r="C47" s="25" t="n">
        <x:f>C46+B47</x:f>
        <x:v>254944</x:v>
      </x:c>
    </x:row>
    <x:row r="48" ht="33" customHeight="1">
      <x:c r="A48" s="25" t="n">
        <x:v>41</x:v>
      </x:c>
      <x:c r="B48" s="25" t="n">
        <x:f>ROUNDUP('Gold Economy'!$B$25*A48^'Gold Economy'!$B$26,0)</x:f>
        <x:v>15041</x:v>
      </x:c>
      <x:c r="C48" s="25" t="n">
        <x:f>C47+B48</x:f>
        <x:v>269985</x:v>
      </x:c>
    </x:row>
    <x:row r="49" ht="33" customHeight="1">
      <x:c r="A49" s="25" t="n">
        <x:v>42</x:v>
      </x:c>
      <x:c r="B49" s="25" t="n">
        <x:f>ROUNDUP('Gold Economy'!$B$25*A49^'Gold Economy'!$B$26,0)</x:f>
        <x:v>15538</x:v>
      </x:c>
      <x:c r="C49" s="25" t="n">
        <x:f>C48+B49</x:f>
        <x:v>285523</x:v>
      </x:c>
    </x:row>
    <x:row r="50" ht="33" customHeight="1">
      <x:c r="A50" s="25" t="n">
        <x:v>43</x:v>
      </x:c>
      <x:c r="B50" s="25" t="n">
        <x:f>ROUNDUP('Gold Economy'!$B$25*A50^'Gold Economy'!$B$26,0)</x:f>
        <x:v>16040</x:v>
      </x:c>
      <x:c r="C50" s="25" t="n">
        <x:f>C49+B50</x:f>
        <x:v>301563</x:v>
      </x:c>
    </x:row>
    <x:row r="51" ht="33" customHeight="1">
      <x:c r="A51" s="25" t="n">
        <x:v>44</x:v>
      </x:c>
      <x:c r="B51" s="25" t="n">
        <x:f>ROUNDUP('Gold Economy'!$B$25*A51^'Gold Economy'!$B$26,0)</x:f>
        <x:v>16545</x:v>
      </x:c>
      <x:c r="C51" s="25" t="n">
        <x:f>C50+B51</x:f>
        <x:v>318108</x:v>
      </x:c>
    </x:row>
    <x:row r="52" ht="33" customHeight="1">
      <x:c r="A52" s="25" t="n">
        <x:v>45</x:v>
      </x:c>
      <x:c r="B52" s="25" t="n">
        <x:f>ROUNDUP('Gold Economy'!$B$25*A52^'Gold Economy'!$B$26,0)</x:f>
        <x:v>17055</x:v>
      </x:c>
      <x:c r="C52" s="25" t="n">
        <x:f>C51+B52</x:f>
        <x:v>335163</x:v>
      </x:c>
    </x:row>
    <x:row r="53" ht="33" customHeight="1">
      <x:c r="A53" s="25" t="n">
        <x:v>46</x:v>
      </x:c>
      <x:c r="B53" s="25" t="n">
        <x:f>ROUNDUP('Gold Economy'!$B$25*A53^'Gold Economy'!$B$26,0)</x:f>
        <x:v>17569</x:v>
      </x:c>
      <x:c r="C53" s="25" t="n">
        <x:f>C52+B53</x:f>
        <x:v>352732</x:v>
      </x:c>
    </x:row>
    <x:row r="54" ht="33" customHeight="1">
      <x:c r="A54" s="25" t="n">
        <x:v>47</x:v>
      </x:c>
      <x:c r="B54" s="25" t="n">
        <x:f>ROUNDUP('Gold Economy'!$B$25*A54^'Gold Economy'!$B$26,0)</x:f>
        <x:v>18086</x:v>
      </x:c>
      <x:c r="C54" s="25" t="n">
        <x:f>C53+B54</x:f>
        <x:v>370818</x:v>
      </x:c>
    </x:row>
    <x:row r="55" ht="33" customHeight="1">
      <x:c r="A55" s="25" t="n">
        <x:v>48</x:v>
      </x:c>
      <x:c r="B55" s="25" t="n">
        <x:f>ROUNDUP('Gold Economy'!$B$25*A55^'Gold Economy'!$B$26,0)</x:f>
        <x:v>18607</x:v>
      </x:c>
      <x:c r="C55" s="25" t="n">
        <x:f>C54+B55</x:f>
        <x:v>389425</x:v>
      </x:c>
    </x:row>
    <x:row r="56" ht="33" customHeight="1">
      <x:c r="A56" s="25" t="n">
        <x:v>49</x:v>
      </x:c>
      <x:c r="B56" s="25" t="n">
        <x:f>ROUNDUP('Gold Economy'!$B$25*A56^'Gold Economy'!$B$26,0)</x:f>
        <x:v>19133</x:v>
      </x:c>
      <x:c r="C56" s="25" t="n">
        <x:f>C55+B56</x:f>
        <x:v>408558</x:v>
      </x:c>
    </x:row>
    <x:row r="57" ht="33" customHeight="1">
      <x:c r="A57" s="25" t="n">
        <x:v>50</x:v>
      </x:c>
      <x:c r="B57" s="25" t="n">
        <x:f>ROUNDUP('Gold Economy'!$B$25*A57^'Gold Economy'!$B$26,0)</x:f>
        <x:v>19662</x:v>
      </x:c>
      <x:c r="C57" s="25" t="n">
        <x:f>C56+B57</x:f>
        <x:v>428220</x:v>
      </x:c>
    </x:row>
    <x:row r="58" ht="33" customHeight="1">
      <x:c r="A58" s="25" t="n">
        <x:v>51</x:v>
      </x:c>
      <x:c r="B58" s="25" t="n">
        <x:f>ROUNDUP('Gold Economy'!$B$25*A58^'Gold Economy'!$B$26,0)</x:f>
        <x:v>20194</x:v>
      </x:c>
      <x:c r="C58" s="25" t="n">
        <x:f>C57+B58</x:f>
        <x:v>448414</x:v>
      </x:c>
    </x:row>
    <x:row r="59" ht="33" customHeight="1">
      <x:c r="A59" s="25" t="n">
        <x:v>52</x:v>
      </x:c>
      <x:c r="B59" s="25" t="n">
        <x:f>ROUNDUP('Gold Economy'!$B$25*A59^'Gold Economy'!$B$26,0)</x:f>
        <x:v>20731</x:v>
      </x:c>
      <x:c r="C59" s="25" t="n">
        <x:f>C58+B59</x:f>
        <x:v>469145</x:v>
      </x:c>
    </x:row>
    <x:row r="60" ht="33" customHeight="1">
      <x:c r="A60" s="25" t="n">
        <x:v>53</x:v>
      </x:c>
      <x:c r="B60" s="25" t="n">
        <x:f>ROUNDUP('Gold Economy'!$B$25*A60^'Gold Economy'!$B$26,0)</x:f>
        <x:v>21271</x:v>
      </x:c>
      <x:c r="C60" s="25" t="n">
        <x:f>C59+B60</x:f>
        <x:v>490416</x:v>
      </x:c>
    </x:row>
    <x:row r="61" ht="33" customHeight="1">
      <x:c r="A61" s="25" t="n">
        <x:v>54</x:v>
      </x:c>
      <x:c r="B61" s="25" t="n">
        <x:f>ROUNDUP('Gold Economy'!$B$25*A61^'Gold Economy'!$B$26,0)</x:f>
        <x:v>21814</x:v>
      </x:c>
      <x:c r="C61" s="25" t="n">
        <x:f>C60+B61</x:f>
        <x:v>512230</x:v>
      </x:c>
    </x:row>
    <x:row r="62" ht="33" customHeight="1">
      <x:c r="A62" s="25" t="n">
        <x:v>55</x:v>
      </x:c>
      <x:c r="B62" s="25" t="n">
        <x:f>ROUNDUP('Gold Economy'!$B$25*A62^'Gold Economy'!$B$26,0)</x:f>
        <x:v>22361</x:v>
      </x:c>
      <x:c r="C62" s="25" t="n">
        <x:f>C61+B62</x:f>
        <x:v>534591</x:v>
      </x:c>
    </x:row>
    <x:row r="63" ht="33" customHeight="1">
      <x:c r="A63" s="25" t="n">
        <x:v>56</x:v>
      </x:c>
      <x:c r="B63" s="25" t="n">
        <x:f>ROUNDUP('Gold Economy'!$B$25*A63^'Gold Economy'!$B$26,0)</x:f>
        <x:v>22912</x:v>
      </x:c>
      <x:c r="C63" s="25" t="n">
        <x:f>C62+B63</x:f>
        <x:v>557503</x:v>
      </x:c>
    </x:row>
    <x:row r="64" ht="33" customHeight="1">
      <x:c r="A64" s="25" t="n">
        <x:v>57</x:v>
      </x:c>
      <x:c r="B64" s="25" t="n">
        <x:f>ROUNDUP('Gold Economy'!$B$25*A64^'Gold Economy'!$B$26,0)</x:f>
        <x:v>23466</x:v>
      </x:c>
      <x:c r="C64" s="25" t="n">
        <x:f>C63+B64</x:f>
        <x:v>580969</x:v>
      </x:c>
    </x:row>
    <x:row r="65" ht="33" customHeight="1">
      <x:c r="A65" s="25" t="n">
        <x:v>58</x:v>
      </x:c>
      <x:c r="B65" s="25" t="n">
        <x:f>ROUNDUP('Gold Economy'!$B$25*A65^'Gold Economy'!$B$26,0)</x:f>
        <x:v>24024</x:v>
      </x:c>
      <x:c r="C65" s="25" t="n">
        <x:f>C64+B65</x:f>
        <x:v>604993</x:v>
      </x:c>
    </x:row>
    <x:row r="66" ht="33" customHeight="1">
      <x:c r="A66" s="25" t="n">
        <x:v>59</x:v>
      </x:c>
      <x:c r="B66" s="25" t="n">
        <x:f>ROUNDUP('Gold Economy'!$B$25*A66^'Gold Economy'!$B$26,0)</x:f>
        <x:v>24584</x:v>
      </x:c>
      <x:c r="C66" s="25" t="n">
        <x:f>C65+B66</x:f>
        <x:v>629577</x:v>
      </x:c>
    </x:row>
    <x:row r="67" ht="33" customHeight="1">
      <x:c r="A67" s="25" t="n">
        <x:v>60</x:v>
      </x:c>
      <x:c r="B67" s="25" t="n">
        <x:f>ROUNDUP('Gold Economy'!$B$25*A67^'Gold Economy'!$B$26,0)</x:f>
        <x:v>25149</x:v>
      </x:c>
      <x:c r="C67" s="25" t="n">
        <x:f>C66+B67</x:f>
        <x:v>654726</x:v>
      </x:c>
    </x:row>
    <x:row r="68" ht="33" customHeight="1">
      <x:c r="A68" s="25" t="n">
        <x:v>61</x:v>
      </x:c>
      <x:c r="B68" s="25" t="n">
        <x:f>ROUNDUP('Gold Economy'!$B$25*A68^'Gold Economy'!$B$26,0)</x:f>
        <x:v>25716</x:v>
      </x:c>
      <x:c r="C68" s="25" t="n">
        <x:f>C67+B68</x:f>
        <x:v>680442</x:v>
      </x:c>
    </x:row>
    <x:row r="69" ht="33" customHeight="1">
      <x:c r="A69" s="25" t="n">
        <x:v>62</x:v>
      </x:c>
      <x:c r="B69" s="25" t="n">
        <x:f>ROUNDUP('Gold Economy'!$B$25*A69^'Gold Economy'!$B$26,0)</x:f>
        <x:v>26287</x:v>
      </x:c>
      <x:c r="C69" s="25" t="n">
        <x:f>C68+B69</x:f>
        <x:v>706729</x:v>
      </x:c>
    </x:row>
    <x:row r="70" ht="33" customHeight="1">
      <x:c r="A70" s="25" t="n">
        <x:v>63</x:v>
      </x:c>
      <x:c r="B70" s="25" t="n">
        <x:f>ROUNDUP('Gold Economy'!$B$25*A70^'Gold Economy'!$B$26,0)</x:f>
        <x:v>26861</x:v>
      </x:c>
      <x:c r="C70" s="25" t="n">
        <x:f>C69+B70</x:f>
        <x:v>733590</x:v>
      </x:c>
    </x:row>
    <x:row r="71" ht="33" customHeight="1">
      <x:c r="A71" s="25" t="n">
        <x:v>64</x:v>
      </x:c>
      <x:c r="B71" s="25" t="n">
        <x:f>ROUNDUP('Gold Economy'!$B$25*A71^'Gold Economy'!$B$26,0)</x:f>
        <x:v>27438</x:v>
      </x:c>
      <x:c r="C71" s="25" t="n">
        <x:f>C70+B71</x:f>
        <x:v>761028</x:v>
      </x:c>
    </x:row>
    <x:row r="72" ht="33" customHeight="1">
      <x:c r="A72" s="25" t="n">
        <x:v>65</x:v>
      </x:c>
      <x:c r="B72" s="25" t="n">
        <x:f>ROUNDUP('Gold Economy'!$B$25*A72^'Gold Economy'!$B$26,0)</x:f>
        <x:v>28018</x:v>
      </x:c>
      <x:c r="C72" s="25" t="n">
        <x:f>C71+B72</x:f>
        <x:v>789046</x:v>
      </x:c>
    </x:row>
    <x:row r="73" ht="33" customHeight="1">
      <x:c r="A73" s="25" t="n">
        <x:v>66</x:v>
      </x:c>
      <x:c r="B73" s="25" t="n">
        <x:f>ROUNDUP('Gold Economy'!$B$25*A73^'Gold Economy'!$B$26,0)</x:f>
        <x:v>28602</x:v>
      </x:c>
      <x:c r="C73" s="25" t="n">
        <x:f>C72+B73</x:f>
        <x:v>817648</x:v>
      </x:c>
    </x:row>
    <x:row r="74" ht="33" customHeight="1">
      <x:c r="A74" s="25" t="n">
        <x:v>67</x:v>
      </x:c>
      <x:c r="B74" s="25" t="n">
        <x:f>ROUNDUP('Gold Economy'!$B$25*A74^'Gold Economy'!$B$26,0)</x:f>
        <x:v>29188</x:v>
      </x:c>
      <x:c r="C74" s="25" t="n">
        <x:f>C73+B74</x:f>
        <x:v>846836</x:v>
      </x:c>
    </x:row>
    <x:row r="75" ht="33" customHeight="1">
      <x:c r="A75" s="25" t="n">
        <x:v>68</x:v>
      </x:c>
      <x:c r="B75" s="25" t="n">
        <x:f>ROUNDUP('Gold Economy'!$B$25*A75^'Gold Economy'!$B$26,0)</x:f>
        <x:v>29778</x:v>
      </x:c>
      <x:c r="C75" s="25" t="n">
        <x:f>C74+B75</x:f>
        <x:v>876614</x:v>
      </x:c>
    </x:row>
    <x:row r="76" ht="33" customHeight="1">
      <x:c r="A76" s="25" t="n">
        <x:v>69</x:v>
      </x:c>
      <x:c r="B76" s="25" t="n">
        <x:f>ROUNDUP('Gold Economy'!$B$25*A76^'Gold Economy'!$B$26,0)</x:f>
        <x:v>30371</x:v>
      </x:c>
      <x:c r="C76" s="25" t="n">
        <x:f>C75+B76</x:f>
        <x:v>906985</x:v>
      </x:c>
    </x:row>
    <x:row r="77" ht="33" customHeight="1">
      <x:c r="A77" s="25" t="n">
        <x:v>70</x:v>
      </x:c>
      <x:c r="B77" s="25" t="n">
        <x:f>ROUNDUP('Gold Economy'!$B$25*A77^'Gold Economy'!$B$26,0)</x:f>
        <x:v>30966</x:v>
      </x:c>
      <x:c r="C77" s="25" t="n">
        <x:f>C76+B77</x:f>
        <x:v>937951</x:v>
      </x:c>
    </x:row>
    <x:row r="78" ht="33" customHeight="1">
      <x:c r="A78" s="25" t="n">
        <x:v>71</x:v>
      </x:c>
      <x:c r="B78" s="25" t="n">
        <x:f>ROUNDUP('Gold Economy'!$B$25*A78^'Gold Economy'!$B$26,0)</x:f>
        <x:v>31565</x:v>
      </x:c>
      <x:c r="C78" s="25" t="n">
        <x:f>C77+B78</x:f>
        <x:v>969516</x:v>
      </x:c>
    </x:row>
    <x:row r="79" ht="33" customHeight="1">
      <x:c r="A79" s="25" t="n">
        <x:v>72</x:v>
      </x:c>
      <x:c r="B79" s="25" t="n">
        <x:f>ROUNDUP('Gold Economy'!$B$25*A79^'Gold Economy'!$B$26,0)</x:f>
        <x:v>32167</x:v>
      </x:c>
      <x:c r="C79" s="25" t="n">
        <x:f>C78+B79</x:f>
        <x:v>1001683</x:v>
      </x:c>
    </x:row>
    <x:row r="80" ht="33" customHeight="1">
      <x:c r="A80" s="25" t="n">
        <x:v>73</x:v>
      </x:c>
      <x:c r="B80" s="25" t="n">
        <x:f>ROUNDUP('Gold Economy'!$B$25*A80^'Gold Economy'!$B$26,0)</x:f>
        <x:v>32771</x:v>
      </x:c>
      <x:c r="C80" s="25" t="n">
        <x:f>C79+B80</x:f>
        <x:v>1034454</x:v>
      </x:c>
    </x:row>
    <x:row r="81" ht="33" customHeight="1">
      <x:c r="A81" s="25" t="n">
        <x:v>74</x:v>
      </x:c>
      <x:c r="B81" s="25" t="n">
        <x:f>ROUNDUP('Gold Economy'!$B$25*A81^'Gold Economy'!$B$26,0)</x:f>
        <x:v>33379</x:v>
      </x:c>
      <x:c r="C81" s="25" t="n">
        <x:f>C80+B81</x:f>
        <x:v>1067833</x:v>
      </x:c>
    </x:row>
    <x:row r="82" ht="33" customHeight="1">
      <x:c r="A82" s="25" t="n">
        <x:v>75</x:v>
      </x:c>
      <x:c r="B82" s="25" t="n">
        <x:f>ROUNDUP('Gold Economy'!$B$25*A82^'Gold Economy'!$B$26,0)</x:f>
        <x:v>33989</x:v>
      </x:c>
      <x:c r="C82" s="25" t="n">
        <x:f>C81+B82</x:f>
        <x:v>1101822</x:v>
      </x:c>
    </x:row>
    <x:row r="83" ht="33" customHeight="1">
      <x:c r="A83" s="25" t="n">
        <x:v>76</x:v>
      </x:c>
      <x:c r="B83" s="25" t="n">
        <x:f>ROUNDUP('Gold Economy'!$B$25*A83^'Gold Economy'!$B$26,0)</x:f>
        <x:v>34602</x:v>
      </x:c>
      <x:c r="C83" s="25" t="n">
        <x:f>C82+B83</x:f>
        <x:v>1136424</x:v>
      </x:c>
    </x:row>
    <x:row r="84" ht="33" customHeight="1">
      <x:c r="A84" s="25" t="n">
        <x:v>77</x:v>
      </x:c>
      <x:c r="B84" s="25" t="n">
        <x:f>ROUNDUP('Gold Economy'!$B$25*A84^'Gold Economy'!$B$26,0)</x:f>
        <x:v>35218</x:v>
      </x:c>
      <x:c r="C84" s="25" t="n">
        <x:f>C83+B84</x:f>
        <x:v>1171642</x:v>
      </x:c>
    </x:row>
    <x:row r="85" ht="33" customHeight="1">
      <x:c r="A85" s="25" t="n">
        <x:v>78</x:v>
      </x:c>
      <x:c r="B85" s="25" t="n">
        <x:f>ROUNDUP('Gold Economy'!$B$25*A85^'Gold Economy'!$B$26,0)</x:f>
        <x:v>35837</x:v>
      </x:c>
      <x:c r="C85" s="25" t="n">
        <x:f>C84+B85</x:f>
        <x:v>1207479</x:v>
      </x:c>
    </x:row>
    <x:row r="86" ht="33" customHeight="1">
      <x:c r="A86" s="25" t="n">
        <x:v>79</x:v>
      </x:c>
      <x:c r="B86" s="25" t="n">
        <x:f>ROUNDUP('Gold Economy'!$B$25*A86^'Gold Economy'!$B$26,0)</x:f>
        <x:v>36459</x:v>
      </x:c>
      <x:c r="C86" s="25" t="n">
        <x:f>C85+B86</x:f>
        <x:v>1243938</x:v>
      </x:c>
    </x:row>
    <x:row r="87" ht="33" customHeight="1">
      <x:c r="A87" s="25" t="n">
        <x:v>80</x:v>
      </x:c>
      <x:c r="B87" s="25" t="n">
        <x:f>ROUNDUP('Gold Economy'!$B$25*A87^'Gold Economy'!$B$26,0)</x:f>
        <x:v>37083</x:v>
      </x:c>
      <x:c r="C87" s="25" t="n">
        <x:f>C86+B87</x:f>
        <x:v>1281021</x:v>
      </x:c>
    </x:row>
    <x:row r="88" ht="33" customHeight="1">
      <x:c r="A88" s="25" t="n">
        <x:v>81</x:v>
      </x:c>
      <x:c r="B88" s="25" t="n">
        <x:f>ROUNDUP('Gold Economy'!$B$25*A88^'Gold Economy'!$B$26,0)</x:f>
        <x:v>37710</x:v>
      </x:c>
      <x:c r="C88" s="25" t="n">
        <x:f>C87+B88</x:f>
        <x:v>1318731</x:v>
      </x:c>
    </x:row>
    <x:row r="89" ht="33" customHeight="1">
      <x:c r="A89" s="25" t="n">
        <x:v>82</x:v>
      </x:c>
      <x:c r="B89" s="25" t="n">
        <x:f>ROUNDUP('Gold Economy'!$B$25*A89^'Gold Economy'!$B$26,0)</x:f>
        <x:v>38340</x:v>
      </x:c>
      <x:c r="C89" s="25" t="n">
        <x:f>C88+B89</x:f>
        <x:v>1357071</x:v>
      </x:c>
    </x:row>
    <x:row r="90" ht="33" customHeight="1">
      <x:c r="A90" s="25" t="n">
        <x:v>83</x:v>
      </x:c>
      <x:c r="B90" s="25" t="n">
        <x:f>ROUNDUP('Gold Economy'!$B$25*A90^'Gold Economy'!$B$26,0)</x:f>
        <x:v>38973</x:v>
      </x:c>
      <x:c r="C90" s="25" t="n">
        <x:f>C89+B90</x:f>
        <x:v>1396044</x:v>
      </x:c>
    </x:row>
    <x:row r="91" ht="33" customHeight="1">
      <x:c r="A91" s="25" t="n">
        <x:v>84</x:v>
      </x:c>
      <x:c r="B91" s="25" t="n">
        <x:f>ROUNDUP('Gold Economy'!$B$25*A91^'Gold Economy'!$B$26,0)</x:f>
        <x:v>39608</x:v>
      </x:c>
      <x:c r="C91" s="25" t="n">
        <x:f>C90+B91</x:f>
        <x:v>1435652</x:v>
      </x:c>
    </x:row>
    <x:row r="92" ht="33" customHeight="1">
      <x:c r="A92" s="25" t="n">
        <x:v>85</x:v>
      </x:c>
      <x:c r="B92" s="25" t="n">
        <x:f>ROUNDUP('Gold Economy'!$B$25*A92^'Gold Economy'!$B$26,0)</x:f>
        <x:v>40246</x:v>
      </x:c>
      <x:c r="C92" s="25" t="n">
        <x:f>C91+B92</x:f>
        <x:v>1475898</x:v>
      </x:c>
    </x:row>
    <x:row r="93" ht="33" customHeight="1">
      <x:c r="A93" s="25" t="n">
        <x:v>86</x:v>
      </x:c>
      <x:c r="B93" s="25" t="n">
        <x:f>ROUNDUP('Gold Economy'!$B$25*A93^'Gold Economy'!$B$26,0)</x:f>
        <x:v>40886</x:v>
      </x:c>
      <x:c r="C93" s="25" t="n">
        <x:f>C92+B93</x:f>
        <x:v>1516784</x:v>
      </x:c>
    </x:row>
    <x:row r="94" ht="33" customHeight="1">
      <x:c r="A94" s="25" t="n">
        <x:v>87</x:v>
      </x:c>
      <x:c r="B94" s="25" t="n">
        <x:f>ROUNDUP('Gold Economy'!$B$25*A94^'Gold Economy'!$B$26,0)</x:f>
        <x:v>41529</x:v>
      </x:c>
      <x:c r="C94" s="25" t="n">
        <x:f>C93+B94</x:f>
        <x:v>1558313</x:v>
      </x:c>
    </x:row>
    <x:row r="95" ht="33" customHeight="1">
      <x:c r="A95" s="25" t="n">
        <x:v>88</x:v>
      </x:c>
      <x:c r="B95" s="25" t="n">
        <x:f>ROUNDUP('Gold Economy'!$B$25*A95^'Gold Economy'!$B$26,0)</x:f>
        <x:v>42175</x:v>
      </x:c>
      <x:c r="C95" s="25" t="n">
        <x:f>C94+B95</x:f>
        <x:v>1600488</x:v>
      </x:c>
    </x:row>
    <x:row r="96" ht="33" customHeight="1">
      <x:c r="A96" s="25" t="n">
        <x:v>89</x:v>
      </x:c>
      <x:c r="B96" s="25" t="n">
        <x:f>ROUNDUP('Gold Economy'!$B$25*A96^'Gold Economy'!$B$26,0)</x:f>
        <x:v>42823</x:v>
      </x:c>
      <x:c r="C96" s="25" t="n">
        <x:f>C95+B96</x:f>
        <x:v>1643311</x:v>
      </x:c>
    </x:row>
    <x:row r="97" ht="33" customHeight="1">
      <x:c r="A97" s="25" t="n">
        <x:v>90</x:v>
      </x:c>
      <x:c r="B97" s="25" t="n">
        <x:f>ROUNDUP('Gold Economy'!$B$25*A97^'Gold Economy'!$B$26,0)</x:f>
        <x:v>43474</x:v>
      </x:c>
      <x:c r="C97" s="25" t="n">
        <x:f>C96+B97</x:f>
        <x:v>1686785</x:v>
      </x:c>
    </x:row>
    <x:row r="98" ht="33" customHeight="1">
      <x:c r="A98" s="25" t="n">
        <x:v>91</x:v>
      </x:c>
      <x:c r="B98" s="25" t="n">
        <x:f>ROUNDUP('Gold Economy'!$B$25*A98^'Gold Economy'!$B$26,0)</x:f>
        <x:v>44128</x:v>
      </x:c>
      <x:c r="C98" s="25" t="n">
        <x:f>C97+B98</x:f>
        <x:v>1730913</x:v>
      </x:c>
    </x:row>
    <x:row r="99" ht="33" customHeight="1">
      <x:c r="A99" s="25" t="n">
        <x:v>92</x:v>
      </x:c>
      <x:c r="B99" s="25" t="n">
        <x:f>ROUNDUP('Gold Economy'!$B$25*A99^'Gold Economy'!$B$26,0)</x:f>
        <x:v>44784</x:v>
      </x:c>
      <x:c r="C99" s="25" t="n">
        <x:f>C98+B99</x:f>
        <x:v>1775697</x:v>
      </x:c>
    </x:row>
    <x:row r="100" ht="33" customHeight="1">
      <x:c r="A100" s="25" t="n">
        <x:v>93</x:v>
      </x:c>
      <x:c r="B100" s="25" t="n">
        <x:f>ROUNDUP('Gold Economy'!$B$25*A100^'Gold Economy'!$B$26,0)</x:f>
        <x:v>45442</x:v>
      </x:c>
      <x:c r="C100" s="25" t="n">
        <x:f>C99+B100</x:f>
        <x:v>1821139</x:v>
      </x:c>
    </x:row>
    <x:row r="101" ht="33" customHeight="1">
      <x:c r="A101" s="25" t="n">
        <x:v>94</x:v>
      </x:c>
      <x:c r="B101" s="25" t="n">
        <x:f>ROUNDUP('Gold Economy'!$B$25*A101^'Gold Economy'!$B$26,0)</x:f>
        <x:v>46103</x:v>
      </x:c>
      <x:c r="C101" s="25" t="n">
        <x:f>C100+B101</x:f>
        <x:v>1867242</x:v>
      </x:c>
    </x:row>
    <x:row r="102" ht="33" customHeight="1">
      <x:c r="A102" s="25" t="n">
        <x:v>95</x:v>
      </x:c>
      <x:c r="B102" s="25" t="n">
        <x:f>ROUNDUP('Gold Economy'!$B$25*A102^'Gold Economy'!$B$26,0)</x:f>
        <x:v>46766</x:v>
      </x:c>
      <x:c r="C102" s="25" t="n">
        <x:f>C101+B102</x:f>
        <x:v>1914008</x:v>
      </x:c>
    </x:row>
    <x:row r="103" ht="33" customHeight="1">
      <x:c r="A103" s="25" t="n">
        <x:v>96</x:v>
      </x:c>
      <x:c r="B103" s="25" t="n">
        <x:f>ROUNDUP('Gold Economy'!$B$25*A103^'Gold Economy'!$B$26,0)</x:f>
        <x:v>47432</x:v>
      </x:c>
      <x:c r="C103" s="25" t="n">
        <x:f>C102+B103</x:f>
        <x:v>1961440</x:v>
      </x:c>
    </x:row>
    <x:row r="104" ht="33" customHeight="1">
      <x:c r="A104" s="25" t="n">
        <x:v>97</x:v>
      </x:c>
      <x:c r="B104" s="25" t="n">
        <x:f>ROUNDUP('Gold Economy'!$B$25*A104^'Gold Economy'!$B$26,0)</x:f>
        <x:v>48100</x:v>
      </x:c>
      <x:c r="C104" s="25" t="n">
        <x:f>C103+B104</x:f>
        <x:v>2009540</x:v>
      </x:c>
    </x:row>
    <x:row r="105" ht="33" customHeight="1">
      <x:c r="A105" s="25" t="n">
        <x:v>98</x:v>
      </x:c>
      <x:c r="B105" s="25" t="n">
        <x:f>ROUNDUP('Gold Economy'!$B$25*A105^'Gold Economy'!$B$26,0)</x:f>
        <x:v>48771</x:v>
      </x:c>
      <x:c r="C105" s="25" t="n">
        <x:f>C104+B105</x:f>
        <x:v>2058311</x:v>
      </x:c>
    </x:row>
    <x:row r="106" ht="33" customHeight="1">
      <x:c r="A106" s="25" t="n">
        <x:v>99</x:v>
      </x:c>
      <x:c r="B106" s="25" t="n">
        <x:f>ROUNDUP('Gold Economy'!$B$25*A106^'Gold Economy'!$B$26,0)</x:f>
        <x:v>49444</x:v>
      </x:c>
      <x:c r="C106" s="25" t="n">
        <x:f>C105+B106</x:f>
        <x:v>2107755</x:v>
      </x:c>
    </x:row>
    <x:row r="107" ht="33" customHeight="1">
      <x:c r="A107" s="25" t="n">
        <x:v>100</x:v>
      </x:c>
      <x:c r="B107" s="25" t="n">
        <x:f>ROUNDUP('Gold Economy'!$B$25*A107^'Gold Economy'!$B$26,0)</x:f>
        <x:v>50119</x:v>
      </x:c>
      <x:c r="C107" s="25" t="n">
        <x:f>C106+B107</x:f>
        <x:v>2157874</x:v>
      </x:c>
    </x:row>
  </x:sheetData>
  <x:pageMargins left="0.7" right="0.7" top="0.75" bottom="0.75" header="0.3" footer="0.3"/>
  <x:tableParts count="1">
    <x:tablePart xmlns:r="http://schemas.openxmlformats.org/officeDocument/2006/relationships" r:id="R421b787c83a54b9f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5" hidden="0" customWidth="1"/>
    <x:col min="2" max="2" width="34" hidden="0" customWidth="1"/>
    <x:col min="3" max="3" width="31" hidden="0" customWidth="1"/>
    <x:col min="4" max="4" width="19" hidden="0" customWidth="1"/>
    <x:col min="5" max="5" width="100" hidden="0" customWidth="1"/>
  </x:cols>
  <x:sheetData>
    <x:row r="1">
      <x:c r="A1" s="2" t="str">
        <x:v>Mechanics</x:v>
      </x:c>
      <x:c r="B1" s="1"/>
      <x:c r="C1" s="1"/>
      <x:c r="D1" s="1"/>
      <x:c r="E1" s="1"/>
    </x:row>
    <x:row r="2">
      <x:c r="A2" s="3" t="str">
        <x:v>Combat effects, boss phases and world rules at default balance.</x:v>
      </x:c>
      <x:c r="B2" s="3"/>
      <x:c r="C2" s="3"/>
      <x:c r="D2" s="3"/>
      <x:c r="E2" s="3"/>
    </x:row>
    <x:row r="3">
      <x:c r="A3" s="3" t="str">
        <x:v>Source: combat.gd; bosses.gd; hidden_areas.gd; world.gd; attack_effects.gd</x:v>
      </x:c>
      <x:c r="B3" s="3"/>
      <x:c r="C3" s="3"/>
      <x:c r="D3" s="3"/>
      <x:c r="E3" s="3"/>
    </x:row>
    <x:row r="4">
      <x:c r="A4" s="1"/>
      <x:c r="B4" s="1"/>
      <x:c r="C4" s="1"/>
      <x:c r="D4" s="1"/>
      <x:c r="E4" s="1"/>
    </x:row>
    <x:row r="5">
      <x:c r="A5" s="1"/>
      <x:c r="B5" s="1"/>
      <x:c r="C5" s="1"/>
      <x:c r="D5" s="1"/>
      <x:c r="E5" s="1"/>
    </x:row>
    <x:row r="6">
      <x:c r="A6" s="1"/>
      <x:c r="B6" s="1"/>
      <x:c r="C6" s="1"/>
      <x:c r="D6" s="1"/>
      <x:c r="E6" s="1"/>
    </x:row>
    <x:row r="7" ht="45" customHeight="1">
      <x:c r="A7" s="22" t="str">
        <x:v>Entity</x:v>
      </x:c>
      <x:c r="B7" s="22" t="str">
        <x:v>Stat</x:v>
      </x:c>
      <x:c r="C7" s="22" t="str">
        <x:v>Value</x:v>
      </x:c>
      <x:c r="D7" s="22" t="str">
        <x:v>Unit</x:v>
      </x:c>
      <x:c r="E7" s="22" t="str">
        <x:v>Rule</x:v>
      </x:c>
    </x:row>
    <x:row r="8" ht="48" customHeight="1">
      <x:c r="A8" s="23" t="str">
        <x:v>Warden</x:v>
      </x:c>
      <x:c r="B8" s="23" t="str">
        <x:v>Initial / restored shield</x:v>
      </x:c>
      <x:c r="C8" s="23" t="n">
        <x:v>600</x:v>
      </x:c>
      <x:c r="D8" s="23" t="str">
        <x:v>HP</x:v>
      </x:c>
      <x:c r="E8" s="23" t="str">
        <x:v>Restored every 10 seconds unless standing in active Cinderfield ground.</x:v>
      </x:c>
    </x:row>
    <x:row r="9" ht="48" customHeight="1">
      <x:c r="A9" s="23" t="str">
        <x:v>Warden</x:v>
      </x:c>
      <x:c r="B9" s="23" t="str">
        <x:v>Shield restore interval</x:v>
      </x:c>
      <x:c r="C9" s="23" t="n">
        <x:v>10</x:v>
      </x:c>
      <x:c r="D9" s="23" t="str">
        <x:v>seconds</x:v>
      </x:c>
      <x:c r="E9" s="23" t="str">
        <x:v>Regrowth timer pauses while blocked; it does not heal boss HP.</x:v>
      </x:c>
    </x:row>
    <x:row r="10" ht="48" customHeight="1">
      <x:c r="A10" s="23" t="str">
        <x:v>Warden</x:v>
      </x:c>
      <x:c r="B10" s="23" t="str">
        <x:v>Burn shield multiplier</x:v>
      </x:c>
      <x:c r="C10" s="23" t="n">
        <x:v>2</x:v>
      </x:c>
      <x:c r="D10" s="23" t="str">
        <x:v>multiplier</x:v>
      </x:c>
      <x:c r="E10" s="23" t="str">
        <x:v>Burning ground consumes shield twice as fast; normal impact is not fire-tagged.</x:v>
      </x:c>
    </x:row>
    <x:row r="11" ht="48" customHeight="1">
      <x:c r="A11" s="23" t="str">
        <x:v>Cindermaw</x:v>
      </x:c>
      <x:c r="B11" s="23" t="str">
        <x:v>Phase threshold</x:v>
      </x:c>
      <x:c r="C11" s="23" t="n">
        <x:v>0.5</x:v>
      </x:c>
      <x:c r="D11" s="23" t="str">
        <x:v>HP fraction</x:v>
      </x:c>
      <x:c r="E11" s="23" t="str">
        <x:v>Above half HP: damage multiplier 0.7. At or below half: haste unless slowed.</x:v>
      </x:c>
    </x:row>
    <x:row r="12" ht="48" customHeight="1">
      <x:c r="A12" s="23" t="str">
        <x:v>Cindermaw</x:v>
      </x:c>
      <x:c r="B12" s="23" t="str">
        <x:v>Armored damage multiplier</x:v>
      </x:c>
      <x:c r="C12" s="23" t="n">
        <x:v>0.7</x:v>
      </x:c>
      <x:c r="D12" s="23" t="str">
        <x:v>multiplier</x:v>
      </x:c>
      <x:c r="E12" s="23" t="str">
        <x:v>Applies above 50% HP, including Frostneedle bonus.</x:v>
      </x:c>
    </x:row>
    <x:row r="13" ht="48" customHeight="1">
      <x:c r="A13" s="23" t="str">
        <x:v>Cindermaw</x:v>
      </x:c>
      <x:c r="B13" s="23" t="str">
        <x:v>Frostneedle damage multiplier</x:v>
      </x:c>
      <x:c r="C13" s="23" t="n">
        <x:v>1.5</x:v>
      </x:c>
      <x:c r="D13" s="23" t="str">
        <x:v>multiplier</x:v>
      </x:c>
      <x:c r="E13" s="23" t="str">
        <x:v>Frostneedle slow also suppresses haste.</x:v>
      </x:c>
    </x:row>
    <x:row r="14" ht="48" customHeight="1">
      <x:c r="A14" s="23" t="str">
        <x:v>Cindermaw</x:v>
      </x:c>
      <x:c r="B14" s="23" t="str">
        <x:v>Haste multiplier</x:v>
      </x:c>
      <x:c r="C14" s="23" t="n">
        <x:v>1.7</x:v>
      </x:c>
      <x:c r="D14" s="23" t="str">
        <x:v>multiplier</x:v>
      </x:c>
      <x:c r="E14" s="23" t="str">
        <x:v>Speed becomes 42.5 units/s at default balance while not slowed.</x:v>
      </x:c>
    </x:row>
    <x:row r="15" ht="48" customHeight="1">
      <x:c r="A15" s="23" t="str">
        <x:v>Drowned Bell</x:v>
      </x:c>
      <x:c r="B15" s="23" t="str">
        <x:v>Toll interval</x:v>
      </x:c>
      <x:c r="C15" s="23" t="n">
        <x:v>8</x:v>
      </x:c>
      <x:c r="D15" s="23" t="str">
        <x:v>seconds</x:v>
      </x:c>
      <x:c r="E15" s="23" t="str">
        <x:v>Summons up to 3 escorts, limited by remaining active-escort capacity.</x:v>
      </x:c>
    </x:row>
    <x:row r="16" ht="48" customHeight="1">
      <x:c r="A16" s="23" t="str">
        <x:v>Drowned Bell</x:v>
      </x:c>
      <x:c r="B16" s="23" t="str">
        <x:v>Escorts per toll</x:v>
      </x:c>
      <x:c r="C16" s="23" t="n">
        <x:v>3</x:v>
      </x:c>
      <x:c r="D16" s="23" t="str">
        <x:v>enemies</x:v>
      </x:c>
      <x:c r="E16" s="23" t="str">
        <x:v>Escorts are Hollows, with no gold bounty and no rift modifier.</x:v>
      </x:c>
    </x:row>
    <x:row r="17" ht="48" customHeight="1">
      <x:c r="A17" s="23" t="str">
        <x:v>Drowned Bell</x:v>
      </x:c>
      <x:c r="B17" s="23" t="str">
        <x:v>Living escort cap</x:v>
      </x:c>
      <x:c r="C17" s="23" t="n">
        <x:v>6</x:v>
      </x:c>
      <x:c r="D17" s="23" t="str">
        <x:v>enemies</x:v>
      </x:c>
      <x:c r="E17" s="23" t="str">
        <x:v>Per summoner, counts only living escorts.</x:v>
      </x:c>
    </x:row>
    <x:row r="18" ht="48" customHeight="1">
      <x:c r="A18" s="23" t="str">
        <x:v>Drowned Bell</x:v>
      </x:c>
      <x:c r="B18" s="23" t="str">
        <x:v>Thunderseal bonus multiplier</x:v>
      </x:c>
      <x:c r="C18" s="23" t="n">
        <x:v>4.5</x:v>
      </x:c>
      <x:c r="D18" s="23" t="str">
        <x:v>hit damage</x:v>
      </x:c>
      <x:c r="E18" s="23" t="str">
        <x:v>31.5 bonus at default stats, instead of the normal 21.</x:v>
      </x:c>
    </x:row>
    <x:row r="19" ht="48" customHeight="1">
      <x:c r="A19" s="23" t="str">
        <x:v>Drowned Bell</x:v>
      </x:c>
      <x:c r="B19" s="23" t="str">
        <x:v>Thunderseal toll delay</x:v>
      </x:c>
      <x:c r="C19" s="23" t="n">
        <x:v>2</x:v>
      </x:c>
      <x:c r="D19" s="23" t="str">
        <x:v>seconds</x:v>
      </x:c>
      <x:c r="E19" s="23" t="str">
        <x:v>At most once per toll cycle.</x:v>
      </x:c>
    </x:row>
    <x:row r="20" ht="48" customHeight="1">
      <x:c r="A20" s="23" t="str">
        <x:v>Eclipse Prior</x:v>
      </x:c>
      <x:c r="B20" s="23" t="str">
        <x:v>Initial / restored wards</x:v>
      </x:c>
      <x:c r="C20" s="23" t="n">
        <x:v>3</x:v>
      </x:c>
      <x:c r="D20" s="23" t="str">
        <x:v>hits</x:v>
      </x:c>
      <x:c r="E20" s="23" t="str">
        <x:v>Each ward blocks one non-Doomstone hit; Doomstone bypasses without consuming wards.</x:v>
      </x:c>
    </x:row>
    <x:row r="21" ht="48" customHeight="1">
      <x:c r="A21" s="23" t="str">
        <x:v>Eclipse Prior</x:v>
      </x:c>
      <x:c r="B21" s="23" t="str">
        <x:v>Ward restoration interval</x:v>
      </x:c>
      <x:c r="C21" s="23" t="n">
        <x:v>10</x:v>
      </x:c>
      <x:c r="D21" s="23" t="str">
        <x:v>seconds</x:v>
      </x:c>
      <x:c r="E21" s="23" t="str">
        <x:v>Timer pauses under a 5-stack curse from an active, in-range Doomstone. No HP regeneration.</x:v>
      </x:c>
    </x:row>
    <x:row r="22" ht="48" customHeight="1">
      <x:c r="A22" s="23" t="str">
        <x:v>Frostneedle</x:v>
      </x:c>
      <x:c r="B22" s="23" t="str">
        <x:v>Movement multiplier</x:v>
      </x:c>
      <x:c r="C22" s="23" t="n">
        <x:v>0.75</x:v>
      </x:c>
      <x:c r="D22" s="23" t="str">
        <x:v>multiplier</x:v>
      </x:c>
      <x:c r="E22" s="23" t="str">
        <x:v>25% slow; repeats refresh, no stacking.</x:v>
      </x:c>
    </x:row>
    <x:row r="23" ht="48" customHeight="1">
      <x:c r="A23" s="23" t="str">
        <x:v>Frostneedle</x:v>
      </x:c>
      <x:c r="B23" s="23" t="str">
        <x:v>Slow duration</x:v>
      </x:c>
      <x:c r="C23" s="23" t="n">
        <x:v>2</x:v>
      </x:c>
      <x:c r="D23" s="23" t="str">
        <x:v>seconds</x:v>
      </x:c>
      <x:c r="E23" s="23" t="str">
        <x:v>Applied after a surviving target is hit.</x:v>
      </x:c>
    </x:row>
    <x:row r="24" ht="48" customHeight="1">
      <x:c r="A24" s="23" t="str">
        <x:v>Thorn Volley</x:v>
      </x:c>
      <x:c r="B24" s="23" t="str">
        <x:v>Arrows per volley</x:v>
      </x:c>
      <x:c r="C24" s="23" t="n">
        <x:v>5</x:v>
      </x:c>
      <x:c r="D24" s="23" t="str">
        <x:v>arrows</x:v>
      </x:c>
      <x:c r="E24" s="23" t="str">
        <x:v>One tracking center plus four straight arrows. No guaranteed five-target DPS.</x:v>
      </x:c>
    </x:row>
    <x:row r="25" ht="48" customHeight="1">
      <x:c r="A25" s="23" t="str">
        <x:v>Thorn Volley</x:v>
      </x:c>
      <x:c r="B25" s="23" t="str">
        <x:v>Outer angles</x:v>
      </x:c>
      <x:c r="C25" s="23" t="str">
        <x:v>-0.48, -0.24, 0.24, 0.48</x:v>
      </x:c>
      <x:c r="D25" s="23" t="str">
        <x:v>radians</x:v>
      </x:c>
      <x:c r="E25" s="23" t="str">
        <x:v>Relative to target angle.</x:v>
      </x:c>
    </x:row>
    <x:row r="26" ht="48" customHeight="1">
      <x:c r="A26" s="23" t="str">
        <x:v>Thorn Volley</x:v>
      </x:c>
      <x:c r="B26" s="23" t="str">
        <x:v>Outer arrow speed</x:v>
      </x:c>
      <x:c r="C26" s="23" t="n">
        <x:v>760</x:v>
      </x:c>
      <x:c r="D26" s="23" t="str">
        <x:v>units/s</x:v>
      </x:c>
      <x:c r="E26" s="23" t="str">
        <x:v>Outer lifetime = range / 760; collision radius 9 units.</x:v>
      </x:c>
    </x:row>
    <x:row r="27" ht="48" customHeight="1">
      <x:c r="A27" s="23" t="str">
        <x:v>Thorn Volley</x:v>
      </x:c>
      <x:c r="B27" s="23" t="str">
        <x:v>Collision radius</x:v>
      </x:c>
      <x:c r="C27" s="23" t="n">
        <x:v>9</x:v>
      </x:c>
      <x:c r="D27" s="23" t="str">
        <x:v>units</x:v>
      </x:c>
      <x:c r="E27" s="23" t="str">
        <x:v>Outer arrow hits the first encountered enemy, then disappears.</x:v>
      </x:c>
    </x:row>
    <x:row r="28" ht="48" customHeight="1">
      <x:c r="A28" s="23" t="str">
        <x:v>Cinderfield</x:v>
      </x:c>
      <x:c r="B28" s="23" t="str">
        <x:v>Burn duration</x:v>
      </x:c>
      <x:c r="C28" s="23" t="n">
        <x:v>3</x:v>
      </x:c>
      <x:c r="D28" s="23" t="str">
        <x:v>seconds</x:v>
      </x:c>
      <x:c r="E28" s="23" t="str">
        <x:v>12 damage/s by default. Same-tower overlapping ground does not stack.</x:v>
      </x:c>
    </x:row>
    <x:row r="29" ht="48" customHeight="1">
      <x:c r="A29" s="23" t="str">
        <x:v>Cinderfield</x:v>
      </x:c>
      <x:c r="B29" s="23" t="str">
        <x:v>Burn damage per second</x:v>
      </x:c>
      <x:c r="C29" s="23" t="n">
        <x:f>'Towers'!C13/3</x:f>
        <x:v>12</x:v>
      </x:c>
      <x:c r="D29" s="23" t="str">
        <x:v>HP/s</x:v>
      </x:c>
      <x:c r="E29" s="23" t="str">
        <x:v>Level-3 damage / 3; separate towers can stack.</x:v>
      </x:c>
    </x:row>
    <x:row r="30" ht="48" customHeight="1">
      <x:c r="A30" s="23" t="str">
        <x:v>Rupture Pyre</x:v>
      </x:c>
      <x:c r="B30" s="23" t="str">
        <x:v>Push distance</x:v>
      </x:c>
      <x:c r="C30" s="23" t="n">
        <x:v>20</x:v>
      </x:c>
      <x:c r="D30" s="23" t="str">
        <x:v>units</x:v>
      </x:c>
      <x:c r="E30" s="23" t="str">
        <x:v>Revenants receive 5 units; no additional boss-specific resistance.</x:v>
      </x:c>
    </x:row>
    <x:row r="31" ht="48" customHeight="1">
      <x:c r="A31" s="23" t="str">
        <x:v>Rupture Pyre</x:v>
      </x:c>
      <x:c r="B31" s="23" t="str">
        <x:v>Revenant push distance</x:v>
      </x:c>
      <x:c r="C31" s="23" t="n">
        <x:v>5</x:v>
      </x:c>
      <x:c r="D31" s="23" t="str">
        <x:v>units</x:v>
      </x:c>
      <x:c r="E31" s="23" t="str">
        <x:v>75% less than standard push.</x:v>
      </x:c>
    </x:row>
    <x:row r="32" ht="48" customHeight="1">
      <x:c r="A32" s="23" t="str">
        <x:v>Rupture Pyre</x:v>
      </x:c>
      <x:c r="B32" s="23" t="str">
        <x:v>Push immunity</x:v>
      </x:c>
      <x:c r="C32" s="23" t="n">
        <x:v>1</x:v>
      </x:c>
      <x:c r="D32" s="23" t="str">
        <x:v>seconds</x:v>
      </x:c>
      <x:c r="E32" s="23" t="str">
        <x:v>Per enemy.</x:v>
      </x:c>
    </x:row>
    <x:row r="33" ht="48" customHeight="1">
      <x:c r="A33" s="23" t="str">
        <x:v>Grave Echo</x:v>
      </x:c>
      <x:c r="B33" s="23" t="str">
        <x:v>Fragment count</x:v>
      </x:c>
      <x:c r="C33" s="23" t="n">
        <x:v>5</x:v>
      </x:c>
      <x:c r="D33" s="23" t="str">
        <x:v>maximum</x:v>
      </x:c>
      <x:c r="E33" s="23" t="str">
        <x:v>Distinct enemies within 90 units; excludes original target.</x:v>
      </x:c>
    </x:row>
    <x:row r="34" ht="48" customHeight="1">
      <x:c r="A34" s="23" t="str">
        <x:v>Grave Echo</x:v>
      </x:c>
      <x:c r="B34" s="23" t="str">
        <x:v>Fragment damage fraction</x:v>
      </x:c>
      <x:c r="C34" s="23" t="n">
        <x:v>0.2</x:v>
      </x:c>
      <x:c r="D34" s="23" t="str">
        <x:v>multiplier</x:v>
      </x:c>
      <x:c r="E34" s="23" t="str">
        <x:v>22 damage each at default stats; unused fragments fade.</x:v>
      </x:c>
    </x:row>
    <x:row r="35" ht="48" customHeight="1">
      <x:c r="A35" s="23" t="str">
        <x:v>Grave Echo</x:v>
      </x:c>
      <x:c r="B35" s="23" t="str">
        <x:v>Fragment search radius</x:v>
      </x:c>
      <x:c r="C35" s="23" t="n">
        <x:v>90</x:v>
      </x:c>
      <x:c r="D35" s="23" t="str">
        <x:v>units</x:v>
      </x:c>
      <x:c r="E35" s="23" t="str">
        <x:v>Measured around impact.</x:v>
      </x:c>
    </x:row>
    <x:row r="36" ht="48" customHeight="1">
      <x:c r="A36" s="23" t="str">
        <x:v>Doomstone</x:v>
      </x:c>
      <x:c r="B36" s="23" t="str">
        <x:v>Damage per curse stack</x:v>
      </x:c>
      <x:c r="C36" s="23" t="n">
        <x:v>0.2</x:v>
      </x:c>
      <x:c r="D36" s="23" t="str">
        <x:v>fraction</x:v>
      </x:c>
      <x:c r="E36" s="23" t="str">
        <x:v>First hit is 0 stacks; subsequent hits build to 5. Target switch resets.</x:v>
      </x:c>
    </x:row>
    <x:row r="37" ht="48" customHeight="1">
      <x:c r="A37" s="23" t="str">
        <x:v>Doomstone</x:v>
      </x:c>
      <x:c r="B37" s="23" t="str">
        <x:v>Maximum stacks</x:v>
      </x:c>
      <x:c r="C37" s="23" t="n">
        <x:v>5</x:v>
      </x:c>
      <x:c r="D37" s="23" t="str">
        <x:v>stacks</x:v>
      </x:c>
      <x:c r="E37" s="23" t="str">
        <x:v>Default damage grows 90, 108, 126, 144, 162, 180.</x:v>
      </x:c>
    </x:row>
    <x:row r="38" ht="48" customHeight="1">
      <x:c r="A38" s="23" t="str">
        <x:v>Tempest Web</x:v>
      </x:c>
      <x:c r="B38" s="23" t="str">
        <x:v>Primary targets</x:v>
      </x:c>
      <x:c r="C38" s="23" t="n">
        <x:v>5</x:v>
      </x:c>
      <x:c r="D38" s="23" t="str">
        <x:v>maximum</x:v>
      </x:c>
      <x:c r="E38" s="23" t="str">
        <x:v>Up to one distinct arc target per primary, up to 10 enemies total.</x:v>
      </x:c>
    </x:row>
    <x:row r="39" ht="48" customHeight="1">
      <x:c r="A39" s="23" t="str">
        <x:v>Tempest Web</x:v>
      </x:c>
      <x:c r="B39" s="23" t="str">
        <x:v>Arc radius</x:v>
      </x:c>
      <x:c r="C39" s="23" t="n">
        <x:v>60</x:v>
      </x:c>
      <x:c r="D39" s="23" t="str">
        <x:v>units</x:v>
      </x:c>
      <x:c r="E39" s="23" t="str">
        <x:v>Can extend beyond tower range.</x:v>
      </x:c>
    </x:row>
    <x:row r="40" ht="48" customHeight="1">
      <x:c r="A40" s="23" t="str">
        <x:v>Tempest Web</x:v>
      </x:c>
      <x:c r="B40" s="23" t="str">
        <x:v>Arc damage fraction</x:v>
      </x:c>
      <x:c r="C40" s="23" t="n">
        <x:v>0.5</x:v>
      </x:c>
      <x:c r="D40" s="23" t="str">
        <x:v>multiplier</x:v>
      </x:c>
      <x:c r="E40" s="23" t="str">
        <x:v>3.5 damage at defaults; primary and already-used arc targets excluded.</x:v>
      </x:c>
    </x:row>
    <x:row r="41" ht="48" customHeight="1">
      <x:c r="A41" s="23" t="str">
        <x:v>Thunderseal</x:v>
      </x:c>
      <x:c r="B41" s="23" t="str">
        <x:v>Hits per detonation</x:v>
      </x:c>
      <x:c r="C41" s="23" t="n">
        <x:v>5</x:v>
      </x:c>
      <x:c r="D41" s="23" t="str">
        <x:v>hits</x:v>
      </x:c>
      <x:c r="E41" s="23" t="str">
        <x:v>Per tower per enemy; resets after detonation.</x:v>
      </x:c>
    </x:row>
    <x:row r="42" ht="48" customHeight="1">
      <x:c r="A42" s="23" t="str">
        <x:v>Thunderseal</x:v>
      </x:c>
      <x:c r="B42" s="23" t="str">
        <x:v>Standard detonation bonus</x:v>
      </x:c>
      <x:c r="C42" s="23" t="n">
        <x:v>3</x:v>
      </x:c>
      <x:c r="D42" s="23" t="str">
        <x:v>hit damage</x:v>
      </x:c>
      <x:c r="E42" s="23" t="str">
        <x:v>21 extra damage at defaults. Bell uses multiplier 4.5.</x:v>
      </x:c>
    </x:row>
    <x:row r="43" ht="48" customHeight="1">
      <x:c r="A43" s="23" t="str">
        <x:v>Thunderseal</x:v>
      </x:c>
      <x:c r="B43" s="23" t="str">
        <x:v>Stun duration</x:v>
      </x:c>
      <x:c r="C43" s="23" t="n">
        <x:v>0.4</x:v>
      </x:c>
      <x:c r="D43" s="23" t="str">
        <x:v>seconds</x:v>
      </x:c>
      <x:c r="E43" s="23" t="str">
        <x:v>Shared enemy immunity prevents continuous lockdown.</x:v>
      </x:c>
    </x:row>
    <x:row r="44" ht="48" customHeight="1">
      <x:c r="A44" s="23" t="str">
        <x:v>Thunderseal</x:v>
      </x:c>
      <x:c r="B44" s="23" t="str">
        <x:v>Stun immunity</x:v>
      </x:c>
      <x:c r="C44" s="23" t="n">
        <x:v>2</x:v>
      </x:c>
      <x:c r="D44" s="23" t="str">
        <x:v>seconds</x:v>
      </x:c>
      <x:c r="E44" s="23" t="str">
        <x:v>Counted from detonation that applied stun.</x:v>
      </x:c>
    </x:row>
    <x:row r="45" ht="48" customHeight="1">
      <x:c r="A45" s="23" t="str">
        <x:v>World</x:v>
      </x:c>
      <x:c r="B45" s="23" t="str">
        <x:v>Tower pads per region</x:v>
      </x:c>
      <x:c r="C45" s="23" t="n">
        <x:v>4</x:v>
      </x:c>
      <x:c r="D45" s="23" t="str">
        <x:v>pads</x:v>
      </x:c>
      <x:c r="E45" s="23" t="str">
        <x:v>Each tower occupies one pad; no tower HP or enemy attack damage system.</x:v>
      </x:c>
    </x:row>
    <x:row r="46" ht="48" customHeight="1">
      <x:c r="A46" s="23" t="str">
        <x:v>World</x:v>
      </x:c>
      <x:c r="B46" s="23" t="str">
        <x:v>Region width</x:v>
      </x:c>
      <x:c r="C46" s="23" t="n">
        <x:v>300</x:v>
      </x:c>
      <x:c r="D46" s="23" t="str">
        <x:v>units</x:v>
      </x:c>
      <x:c r="E46" s="23" t="str">
        <x:v>Square tile size.</x:v>
      </x:c>
    </x:row>
    <x:row r="47" ht="48" customHeight="1">
      <x:c r="A47" s="23" t="str">
        <x:v>World</x:v>
      </x:c>
      <x:c r="B47" s="23" t="str">
        <x:v>Castle sector width</x:v>
      </x:c>
      <x:c r="C47" s="23" t="n">
        <x:v>7</x:v>
      </x:c>
      <x:c r="D47" s="23" t="str">
        <x:v>tiles</x:v>
      </x:c>
      <x:c r="E47" s="23" t="str">
        <x:v>One seeded connected ruin of 4–5 tiles per sector.</x:v>
      </x:c>
    </x:row>
    <x:row r="48" ht="48" customHeight="1">
      <x:c r="A48" s="23" t="str">
        <x:v>World</x:v>
      </x:c>
      <x:c r="B48" s="23" t="str">
        <x:v>Castle ruin minimum size</x:v>
      </x:c>
      <x:c r="C48" s="23" t="n">
        <x:v>4</x:v>
      </x:c>
      <x:c r="D48" s="23" t="str">
        <x:v>tiles</x:v>
      </x:c>
      <x:c r="E48" s="23" t="str">
        <x:v>Reserved ruin tiles are not normal expansion land in new worlds.</x:v>
      </x:c>
    </x:row>
    <x:row r="49" ht="48" customHeight="1">
      <x:c r="A49" s="23" t="str">
        <x:v>World</x:v>
      </x:c>
      <x:c r="B49" s="23" t="str">
        <x:v>Castle ruin maximum size</x:v>
      </x:c>
      <x:c r="C49" s="23" t="n">
        <x:v>5</x:v>
      </x:c>
      <x:c r="D49" s="23" t="str">
        <x:v>tiles</x:v>
      </x:c>
      <x:c r="E49" s="23" t="str">
        <x:v>Legacy purchased ruin terrain is preserved.</x:v>
      </x:c>
    </x:row>
    <x:row r="50" ht="48" customHeight="1">
      <x:c r="A50" s="23" t="str">
        <x:v>World</x:v>
      </x:c>
      <x:c r="B50" s="23" t="str">
        <x:v>Boss encounters per ruin</x:v>
      </x:c>
      <x:c r="C50" s="23" t="n">
        <x:v>1</x:v>
      </x:c>
      <x:c r="D50" s="23" t="str">
        <x:v>encounter</x:v>
      </x:c>
      <x:c r="E50" s="23" t="str">
        <x:v>Gate discovery triggers encounter; legacy purchased clusters awaken on discovery. No repeat bounty after defeat.</x:v>
      </x:c>
    </x:row>
    <x:row r="51" ht="48" customHeight="1">
      <x:c r="A51" s="23" t="str">
        <x:v>Simulation</x:v>
      </x:c>
      <x:c r="B51" s="23" t="str">
        <x:v>Fixed tick</x:v>
      </x:c>
      <x:c r="C51" s="23" t="n">
        <x:v>0.05</x:v>
      </x:c>
      <x:c r="D51" s="23" t="str">
        <x:v>seconds</x:v>
      </x:c>
      <x:c r="E51" s="23" t="str">
        <x:v>Attack intervals are resolved on fixed simulation ticks. Direct DPS is nominal.</x:v>
      </x:c>
    </x:row>
    <x:row r="52" ht="48" customHeight="1">
      <x:c r="A52" s="23" t="str">
        <x:v>Ashneedle</x:v>
      </x:c>
      <x:c r="B52" s="23" t="str">
        <x:v>Projectile speed</x:v>
      </x:c>
      <x:c r="C52" s="23" t="n">
        <x:v>760</x:v>
      </x:c>
      <x:c r="D52" s="23" t="str">
        <x:v>units/s</x:v>
      </x:c>
      <x:c r="E52" s="23" t="str">
        <x:v>Tracking flight clamped to 0.10–0.22 s.</x:v>
      </x:c>
    </x:row>
    <x:row r="53" ht="48" customHeight="1">
      <x:c r="A53" s="23" t="str">
        <x:v>Pyre</x:v>
      </x:c>
      <x:c r="B53" s="23" t="str">
        <x:v>Projectile speed</x:v>
      </x:c>
      <x:c r="C53" s="23" t="n">
        <x:v>520</x:v>
      </x:c>
      <x:c r="D53" s="23" t="str">
        <x:v>units/s</x:v>
      </x:c>
      <x:c r="E53" s="23" t="str">
        <x:v>Tracking flight clamped to 0.17–0.30 s.</x:v>
      </x:c>
    </x:row>
    <x:row r="54" ht="48" customHeight="1">
      <x:c r="A54" s="23" t="str">
        <x:v>Obelisk</x:v>
      </x:c>
      <x:c r="B54" s="23" t="str">
        <x:v>Projectile speed</x:v>
      </x:c>
      <x:c r="C54" s="23" t="n">
        <x:v>470</x:v>
      </x:c>
      <x:c r="D54" s="23" t="str">
        <x:v>units/s</x:v>
      </x:c>
      <x:c r="E54" s="23" t="str">
        <x:v>Tracking flight clamped to 0.18–0.36 s.</x:v>
      </x:c>
    </x:row>
    <x:row r="55" ht="48" customHeight="1">
      <x:c r="A55" s="23" t="str">
        <x:v>Stormspire</x:v>
      </x:c>
      <x:c r="B55" s="23" t="str">
        <x:v>Projectile flight time</x:v>
      </x:c>
      <x:c r="C55" s="23" t="n">
        <x:v>0</x:v>
      </x:c>
      <x:c r="D55" s="23" t="str">
        <x:v>seconds</x:v>
      </x:c>
      <x:c r="E55" s="23" t="str">
        <x:v>Instant hit; 5 primary targets at every tier.</x:v>
      </x:c>
    </x:row>
    <x:row r="56" ht="48" customHeight="1">
      <x:c r="A56" s="23" t="str">
        <x:v>Targeting</x:v>
      </x:c>
      <x:c r="B56" s="23" t="str">
        <x:v>Available modes</x:v>
      </x:c>
      <x:c r="C56" s="23" t="str">
        <x:v>First; Last; Most HP</x:v>
      </x:c>
      <x:c r="D56" s="23" t="str">
        <x:v>modes</x:v>
      </x:c>
      <x:c r="E56" s="23" t="str">
        <x:v>Equal HP prefers First; exact ties use spawn ID.</x:v>
      </x:c>
    </x:row>
  </x:sheetData>
  <x:pageMargins left="0.7" right="0.7" top="0.75" bottom="0.75" header="0.3" footer="0.3"/>
  <x:tableParts count="1">
    <x:tablePart xmlns:r="http://schemas.openxmlformats.org/officeDocument/2006/relationships" r:id="R3c07e33b933948b4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0" hidden="0" customWidth="1"/>
    <x:col min="2" max="2" width="29" hidden="0" customWidth="1"/>
    <x:col min="3" max="3" width="18" hidden="0" customWidth="1"/>
    <x:col min="4" max="4" width="18" hidden="0" customWidth="1"/>
    <x:col min="5" max="5" width="16" hidden="0" customWidth="1"/>
    <x:col min="6" max="6" width="23" hidden="0" customWidth="1"/>
    <x:col min="7" max="7" width="20" hidden="0" customWidth="1"/>
  </x:cols>
  <x:sheetData>
    <x:row r="1">
      <x:c r="A1" s="2" t="str">
        <x:v>Developer Tuning</x:v>
      </x:c>
      <x:c r="B1" s="1"/>
      <x:c r="C1" s="1"/>
      <x:c r="D1" s="1"/>
      <x:c r="E1" s="1"/>
      <x:c r="F1" s="1"/>
      <x:c r="G1" s="1"/>
    </x:row>
    <x:row r="2">
      <x:c r="A2" s="3" t="str">
        <x:v>Allowed per-save base overrides. Tower upgrade combat stats preserve base-stat ratios; costs scale and round up.</x:v>
      </x:c>
      <x:c r="B2" s="3"/>
      <x:c r="C2" s="3"/>
      <x:c r="D2" s="3"/>
      <x:c r="E2" s="3"/>
      <x:c r="F2" s="3"/>
      <x:c r="G2" s="3"/>
    </x:row>
    <x:row r="3">
      <x:c r="A3" s="3" t="str">
        <x:v>Source: balance.gd: TUNING_FIELDS, fields_for, stats, upgrade_cost; game_state.gd: apply_balance</x:v>
      </x:c>
      <x:c r="B3" s="3"/>
      <x:c r="C3" s="3"/>
      <x:c r="D3" s="3"/>
      <x:c r="E3" s="3"/>
      <x:c r="F3" s="3"/>
      <x:c r="G3" s="3"/>
    </x:row>
    <x:row r="4">
      <x:c r="A4" s="1" t="str">
        <x:v>Boss fields apply only where listed in Boss Stats. A custom splash on a zero-splash tower base stays fixed.</x:v>
      </x:c>
      <x:c r="B4" s="1"/>
      <x:c r="C4" s="1"/>
      <x:c r="D4" s="1"/>
      <x:c r="E4" s="1"/>
      <x:c r="F4" s="1"/>
      <x:c r="G4" s="1"/>
    </x:row>
    <x:row r="5">
      <x:c r="A5" s="1"/>
      <x:c r="B5" s="1"/>
      <x:c r="C5" s="1"/>
      <x:c r="D5" s="1"/>
      <x:c r="E5" s="1"/>
      <x:c r="F5" s="1"/>
      <x:c r="G5" s="1"/>
    </x:row>
    <x:row r="6">
      <x:c r="A6" s="1"/>
      <x:c r="B6" s="1"/>
      <x:c r="C6" s="1"/>
      <x:c r="D6" s="1"/>
      <x:c r="E6" s="1"/>
      <x:c r="F6" s="1"/>
      <x:c r="G6" s="1"/>
    </x:row>
    <x:row r="7" ht="45" customHeight="1">
      <x:c r="A7" s="22" t="str">
        <x:v>Category</x:v>
      </x:c>
      <x:c r="B7" s="22" t="str">
        <x:v>Field</x:v>
      </x:c>
      <x:c r="C7" s="22" t="str">
        <x:v>Minimum</x:v>
      </x:c>
      <x:c r="D7" s="22" t="str">
        <x:v>Maximum</x:v>
      </x:c>
      <x:c r="E7" s="22" t="str">
        <x:v>Step</x:v>
      </x:c>
      <x:c r="F7" s="22" t="str">
        <x:v>Unit</x:v>
      </x:c>
      <x:c r="G7" s="22" t="str">
        <x:v>Value type</x:v>
      </x:c>
    </x:row>
    <x:row r="8" ht="33" customHeight="1">
      <x:c r="A8" s="7" t="str">
        <x:v>bosses</x:v>
      </x:c>
      <x:c r="B8" s="7" t="str">
        <x:v>armor_reduction</x:v>
      </x:c>
      <x:c r="C8" s="7" t="n">
        <x:v>0</x:v>
      </x:c>
      <x:c r="D8" s="7" t="n">
        <x:v>100</x:v>
      </x:c>
      <x:c r="E8" s="7" t="n">
        <x:v>1</x:v>
      </x:c>
      <x:c r="F8" s="7" t="str">
        <x:v>%</x:v>
      </x:c>
      <x:c r="G8" s="7" t="str">
        <x:v>Decimal</x:v>
      </x:c>
    </x:row>
    <x:row r="9" ht="33" customHeight="1">
      <x:c r="A9" s="7" t="str">
        <x:v>bosses</x:v>
      </x:c>
      <x:c r="B9" s="7" t="str">
        <x:v>curse_threshold</x:v>
      </x:c>
      <x:c r="C9" s="7" t="n">
        <x:v>0</x:v>
      </x:c>
      <x:c r="D9" s="7" t="n">
        <x:v>5</x:v>
      </x:c>
      <x:c r="E9" s="7" t="n">
        <x:v>1</x:v>
      </x:c>
      <x:c r="F9" s="7" t="str">
        <x:v> stacks</x:v>
      </x:c>
      <x:c r="G9" s="7" t="str">
        <x:v>Whole number</x:v>
      </x:c>
    </x:row>
    <x:row r="10" ht="33" customHeight="1">
      <x:c r="A10" s="7" t="str">
        <x:v>bosses</x:v>
      </x:c>
      <x:c r="B10" s="7" t="str">
        <x:v>doom_bypass</x:v>
      </x:c>
      <x:c r="C10" s="7" t="n">
        <x:v>0</x:v>
      </x:c>
      <x:c r="D10" s="7" t="n">
        <x:v>1</x:v>
      </x:c>
      <x:c r="E10" s="7" t="n">
        <x:v>1</x:v>
      </x:c>
      <x:c r="F10" s="7" t="str">
        <x:v>raw value</x:v>
      </x:c>
      <x:c r="G10" s="7" t="str">
        <x:v>Whole number</x:v>
      </x:c>
    </x:row>
    <x:row r="11" ht="33" customHeight="1">
      <x:c r="A11" s="7" t="str">
        <x:v>bosses</x:v>
      </x:c>
      <x:c r="B11" s="7" t="str">
        <x:v>escort_count</x:v>
      </x:c>
      <x:c r="C11" s="7" t="n">
        <x:v>0</x:v>
      </x:c>
      <x:c r="D11" s="7" t="n">
        <x:v>20</x:v>
      </x:c>
      <x:c r="E11" s="7" t="n">
        <x:v>1</x:v>
      </x:c>
      <x:c r="F11" s="7" t="str">
        <x:v>raw value</x:v>
      </x:c>
      <x:c r="G11" s="7" t="str">
        <x:v>Whole number</x:v>
      </x:c>
    </x:row>
    <x:row r="12" ht="33" customHeight="1">
      <x:c r="A12" s="7" t="str">
        <x:v>bosses</x:v>
      </x:c>
      <x:c r="B12" s="7" t="str">
        <x:v>escort_limit</x:v>
      </x:c>
      <x:c r="C12" s="7" t="n">
        <x:v>0</x:v>
      </x:c>
      <x:c r="D12" s="7" t="n">
        <x:v>50</x:v>
      </x:c>
      <x:c r="E12" s="7" t="n">
        <x:v>1</x:v>
      </x:c>
      <x:c r="F12" s="7" t="str">
        <x:v>raw value</x:v>
      </x:c>
      <x:c r="G12" s="7" t="str">
        <x:v>Whole number</x:v>
      </x:c>
    </x:row>
    <x:row r="13" ht="33" customHeight="1">
      <x:c r="A13" s="7" t="str">
        <x:v>bosses</x:v>
      </x:c>
      <x:c r="B13" s="7" t="str">
        <x:v>fire_multiplier</x:v>
      </x:c>
      <x:c r="C13" s="7" t="n">
        <x:v>1</x:v>
      </x:c>
      <x:c r="D13" s="7" t="n">
        <x:v>10</x:v>
      </x:c>
      <x:c r="E13" s="7" t="n">
        <x:v>0.1</x:v>
      </x:c>
      <x:c r="F13" s="7" t="str">
        <x:v>×</x:v>
      </x:c>
      <x:c r="G13" s="7" t="str">
        <x:v>Decimal</x:v>
      </x:c>
    </x:row>
    <x:row r="14" ht="33" customHeight="1">
      <x:c r="A14" s="7" t="str">
        <x:v>bosses</x:v>
      </x:c>
      <x:c r="B14" s="7" t="str">
        <x:v>frost_multiplier</x:v>
      </x:c>
      <x:c r="C14" s="7" t="n">
        <x:v>0</x:v>
      </x:c>
      <x:c r="D14" s="7" t="n">
        <x:v>10</x:v>
      </x:c>
      <x:c r="E14" s="7" t="n">
        <x:v>0.1</x:v>
      </x:c>
      <x:c r="F14" s="7" t="str">
        <x:v>×</x:v>
      </x:c>
      <x:c r="G14" s="7" t="str">
        <x:v>Decimal</x:v>
      </x:c>
    </x:row>
    <x:row r="15" ht="33" customHeight="1">
      <x:c r="A15" s="7" t="str">
        <x:v>bosses</x:v>
      </x:c>
      <x:c r="B15" s="7" t="str">
        <x:v>haste_multiplier</x:v>
      </x:c>
      <x:c r="C15" s="7" t="n">
        <x:v>1</x:v>
      </x:c>
      <x:c r="D15" s="7" t="n">
        <x:v>5</x:v>
      </x:c>
      <x:c r="E15" s="7" t="n">
        <x:v>0.1</x:v>
      </x:c>
      <x:c r="F15" s="7" t="str">
        <x:v>×</x:v>
      </x:c>
      <x:c r="G15" s="7" t="str">
        <x:v>Decimal</x:v>
      </x:c>
    </x:row>
    <x:row r="16" ht="33" customHeight="1">
      <x:c r="A16" s="7" t="str">
        <x:v>bosses</x:v>
      </x:c>
      <x:c r="B16" s="7" t="str">
        <x:v>hp</x:v>
      </x:c>
      <x:c r="C16" s="7" t="n">
        <x:v>1</x:v>
      </x:c>
      <x:c r="D16" s="7" t="n">
        <x:v>100000</x:v>
      </x:c>
      <x:c r="E16" s="7" t="n">
        <x:v>1</x:v>
      </x:c>
      <x:c r="F16" s="7" t="str">
        <x:v> HP</x:v>
      </x:c>
      <x:c r="G16" s="7" t="str">
        <x:v>Decimal</x:v>
      </x:c>
    </x:row>
    <x:row r="17" ht="33" customHeight="1">
      <x:c r="A17" s="7" t="str">
        <x:v>bosses</x:v>
      </x:c>
      <x:c r="B17" s="7" t="str">
        <x:v>payout</x:v>
      </x:c>
      <x:c r="C17" s="7" t="n">
        <x:v>0</x:v>
      </x:c>
      <x:c r="D17" s="7" t="n">
        <x:v>10000</x:v>
      </x:c>
      <x:c r="E17" s="7" t="n">
        <x:v>1</x:v>
      </x:c>
      <x:c r="F17" s="7" t="str">
        <x:v> gold</x:v>
      </x:c>
      <x:c r="G17" s="7" t="str">
        <x:v>Decimal</x:v>
      </x:c>
    </x:row>
    <x:row r="18" ht="33" customHeight="1">
      <x:c r="A18" s="7" t="str">
        <x:v>bosses</x:v>
      </x:c>
      <x:c r="B18" s="7" t="str">
        <x:v>quench</x:v>
      </x:c>
      <x:c r="C18" s="7" t="n">
        <x:v>0</x:v>
      </x:c>
      <x:c r="D18" s="7" t="n">
        <x:v>100</x:v>
      </x:c>
      <x:c r="E18" s="7" t="n">
        <x:v>1</x:v>
      </x:c>
      <x:c r="F18" s="7" t="str">
        <x:v>%</x:v>
      </x:c>
      <x:c r="G18" s="7" t="str">
        <x:v>Decimal</x:v>
      </x:c>
    </x:row>
    <x:row r="19" ht="33" customHeight="1">
      <x:c r="A19" s="7" t="str">
        <x:v>bosses</x:v>
      </x:c>
      <x:c r="B19" s="7" t="str">
        <x:v>rage_threshold</x:v>
      </x:c>
      <x:c r="C19" s="7" t="n">
        <x:v>0</x:v>
      </x:c>
      <x:c r="D19" s="7" t="n">
        <x:v>100</x:v>
      </x:c>
      <x:c r="E19" s="7" t="n">
        <x:v>1</x:v>
      </x:c>
      <x:c r="F19" s="7" t="str">
        <x:v>%</x:v>
      </x:c>
      <x:c r="G19" s="7" t="str">
        <x:v>Decimal</x:v>
      </x:c>
    </x:row>
    <x:row r="20" ht="33" customHeight="1">
      <x:c r="A20" s="7" t="str">
        <x:v>bosses</x:v>
      </x:c>
      <x:c r="B20" s="7" t="str">
        <x:v>regen_period</x:v>
      </x:c>
      <x:c r="C20" s="7" t="n">
        <x:v>0.1</x:v>
      </x:c>
      <x:c r="D20" s="7" t="n">
        <x:v>120</x:v>
      </x:c>
      <x:c r="E20" s="7" t="n">
        <x:v>0.1</x:v>
      </x:c>
      <x:c r="F20" s="7" t="str">
        <x:v> s</x:v>
      </x:c>
      <x:c r="G20" s="7" t="str">
        <x:v>Decimal</x:v>
      </x:c>
    </x:row>
    <x:row r="21" ht="33" customHeight="1">
      <x:c r="A21" s="7" t="str">
        <x:v>bosses</x:v>
      </x:c>
      <x:c r="B21" s="7" t="str">
        <x:v>regrowth_suppression</x:v>
      </x:c>
      <x:c r="C21" s="7" t="n">
        <x:v>0</x:v>
      </x:c>
      <x:c r="D21" s="7" t="n">
        <x:v>100</x:v>
      </x:c>
      <x:c r="E21" s="7" t="n">
        <x:v>1</x:v>
      </x:c>
      <x:c r="F21" s="7" t="str">
        <x:v>%</x:v>
      </x:c>
      <x:c r="G21" s="7" t="str">
        <x:v>Decimal</x:v>
      </x:c>
    </x:row>
    <x:row r="22" ht="33" customHeight="1">
      <x:c r="A22" s="7" t="str">
        <x:v>bosses</x:v>
      </x:c>
      <x:c r="B22" s="7" t="str">
        <x:v>seal_multiplier</x:v>
      </x:c>
      <x:c r="C22" s="7" t="n">
        <x:v>0</x:v>
      </x:c>
      <x:c r="D22" s="7" t="n">
        <x:v>15</x:v>
      </x:c>
      <x:c r="E22" s="7" t="n">
        <x:v>0.1</x:v>
      </x:c>
      <x:c r="F22" s="7" t="str">
        <x:v>× hit damage</x:v>
      </x:c>
      <x:c r="G22" s="7" t="str">
        <x:v>Decimal</x:v>
      </x:c>
    </x:row>
    <x:row r="23" ht="33" customHeight="1">
      <x:c r="A23" s="7" t="str">
        <x:v>bosses</x:v>
      </x:c>
      <x:c r="B23" s="7" t="str">
        <x:v>shield</x:v>
      </x:c>
      <x:c r="C23" s="7" t="n">
        <x:v>0</x:v>
      </x:c>
      <x:c r="D23" s="7" t="n">
        <x:v>10000</x:v>
      </x:c>
      <x:c r="E23" s="7" t="n">
        <x:v>1</x:v>
      </x:c>
      <x:c r="F23" s="7" t="str">
        <x:v> HP</x:v>
      </x:c>
      <x:c r="G23" s="7" t="str">
        <x:v>Decimal</x:v>
      </x:c>
    </x:row>
    <x:row r="24" ht="33" customHeight="1">
      <x:c r="A24" s="7" t="str">
        <x:v>bosses</x:v>
      </x:c>
      <x:c r="B24" s="7" t="str">
        <x:v>speed</x:v>
      </x:c>
      <x:c r="C24" s="7" t="n">
        <x:v>1</x:v>
      </x:c>
      <x:c r="D24" s="7" t="n">
        <x:v>250</x:v>
      </x:c>
      <x:c r="E24" s="7" t="n">
        <x:v>1</x:v>
      </x:c>
      <x:c r="F24" s="7" t="str">
        <x:v> units/s</x:v>
      </x:c>
      <x:c r="G24" s="7" t="str">
        <x:v>Decimal</x:v>
      </x:c>
    </x:row>
    <x:row r="25" ht="33" customHeight="1">
      <x:c r="A25" s="7" t="str">
        <x:v>bosses</x:v>
      </x:c>
      <x:c r="B25" s="7" t="str">
        <x:v>toll_delay</x:v>
      </x:c>
      <x:c r="C25" s="7" t="n">
        <x:v>0</x:v>
      </x:c>
      <x:c r="D25" s="7" t="n">
        <x:v>60</x:v>
      </x:c>
      <x:c r="E25" s="7" t="n">
        <x:v>0.1</x:v>
      </x:c>
      <x:c r="F25" s="7" t="str">
        <x:v> s</x:v>
      </x:c>
      <x:c r="G25" s="7" t="str">
        <x:v>Decimal</x:v>
      </x:c>
    </x:row>
    <x:row r="26" ht="33" customHeight="1">
      <x:c r="A26" s="7" t="str">
        <x:v>bosses</x:v>
      </x:c>
      <x:c r="B26" s="7" t="str">
        <x:v>toll_period</x:v>
      </x:c>
      <x:c r="C26" s="7" t="n">
        <x:v>0.1</x:v>
      </x:c>
      <x:c r="D26" s="7" t="n">
        <x:v>120</x:v>
      </x:c>
      <x:c r="E26" s="7" t="n">
        <x:v>0.1</x:v>
      </x:c>
      <x:c r="F26" s="7" t="str">
        <x:v> s</x:v>
      </x:c>
      <x:c r="G26" s="7" t="str">
        <x:v>Decimal</x:v>
      </x:c>
    </x:row>
    <x:row r="27" ht="33" customHeight="1">
      <x:c r="A27" s="7" t="str">
        <x:v>bosses</x:v>
      </x:c>
      <x:c r="B27" s="7" t="str">
        <x:v>wards</x:v>
      </x:c>
      <x:c r="C27" s="7" t="n">
        <x:v>0</x:v>
      </x:c>
      <x:c r="D27" s="7" t="n">
        <x:v>20</x:v>
      </x:c>
      <x:c r="E27" s="7" t="n">
        <x:v>1</x:v>
      </x:c>
      <x:c r="F27" s="7" t="str">
        <x:v> hits</x:v>
      </x:c>
      <x:c r="G27" s="7" t="str">
        <x:v>Whole number</x:v>
      </x:c>
    </x:row>
    <x:row r="28" ht="33" customHeight="1">
      <x:c r="A28" s="7" t="str">
        <x:v>enemies</x:v>
      </x:c>
      <x:c r="B28" s="7" t="str">
        <x:v>hp</x:v>
      </x:c>
      <x:c r="C28" s="7" t="n">
        <x:v>1</x:v>
      </x:c>
      <x:c r="D28" s="7" t="n">
        <x:v>1000</x:v>
      </x:c>
      <x:c r="E28" s="7" t="n">
        <x:v>1</x:v>
      </x:c>
      <x:c r="F28" s="7" t="str">
        <x:v> HP</x:v>
      </x:c>
      <x:c r="G28" s="7" t="str">
        <x:v>Decimal</x:v>
      </x:c>
    </x:row>
    <x:row r="29" ht="33" customHeight="1">
      <x:c r="A29" s="7" t="str">
        <x:v>enemies</x:v>
      </x:c>
      <x:c r="B29" s="7" t="str">
        <x:v>payout</x:v>
      </x:c>
      <x:c r="C29" s="7" t="n">
        <x:v>0</x:v>
      </x:c>
      <x:c r="D29" s="7" t="n">
        <x:v>250</x:v>
      </x:c>
      <x:c r="E29" s="7" t="n">
        <x:v>1</x:v>
      </x:c>
      <x:c r="F29" s="7" t="str">
        <x:v> gold</x:v>
      </x:c>
      <x:c r="G29" s="7" t="str">
        <x:v>Decimal</x:v>
      </x:c>
    </x:row>
    <x:row r="30" ht="33" customHeight="1">
      <x:c r="A30" s="7" t="str">
        <x:v>enemies</x:v>
      </x:c>
      <x:c r="B30" s="7" t="str">
        <x:v>speed</x:v>
      </x:c>
      <x:c r="C30" s="7" t="n">
        <x:v>1</x:v>
      </x:c>
      <x:c r="D30" s="7" t="n">
        <x:v>250</x:v>
      </x:c>
      <x:c r="E30" s="7" t="n">
        <x:v>1</x:v>
      </x:c>
      <x:c r="F30" s="7" t="str">
        <x:v> units/s</x:v>
      </x:c>
      <x:c r="G30" s="7" t="str">
        <x:v>Decimal</x:v>
      </x:c>
    </x:row>
    <x:row r="31" ht="33" customHeight="1">
      <x:c r="A31" s="7" t="str">
        <x:v>rifts</x:v>
      </x:c>
      <x:c r="B31" s="7" t="str">
        <x:v>strength</x:v>
      </x:c>
      <x:c r="C31" s="7" t="n">
        <x:v>0</x:v>
      </x:c>
      <x:c r="D31" s="7" t="n">
        <x:v>100</x:v>
      </x:c>
      <x:c r="E31" s="7" t="n">
        <x:v>0.25</x:v>
      </x:c>
      <x:c r="F31" s="7" t="str">
        <x:v>%</x:v>
      </x:c>
      <x:c r="G31" s="7" t="str">
        <x:v>Decimal</x:v>
      </x:c>
    </x:row>
    <x:row r="32" ht="33" customHeight="1">
      <x:c r="A32" s="7" t="str">
        <x:v>towers</x:v>
      </x:c>
      <x:c r="B32" s="7" t="str">
        <x:v>cost</x:v>
      </x:c>
      <x:c r="C32" s="7" t="n">
        <x:v>1</x:v>
      </x:c>
      <x:c r="D32" s="7" t="n">
        <x:v>1000</x:v>
      </x:c>
      <x:c r="E32" s="7" t="n">
        <x:v>1</x:v>
      </x:c>
      <x:c r="F32" s="7" t="str">
        <x:v> gold</x:v>
      </x:c>
      <x:c r="G32" s="7" t="str">
        <x:v>Decimal</x:v>
      </x:c>
    </x:row>
    <x:row r="33" ht="33" customHeight="1">
      <x:c r="A33" s="7" t="str">
        <x:v>towers</x:v>
      </x:c>
      <x:c r="B33" s="7" t="str">
        <x:v>damage</x:v>
      </x:c>
      <x:c r="C33" s="7" t="n">
        <x:v>0.1</x:v>
      </x:c>
      <x:c r="D33" s="7" t="n">
        <x:v>500</x:v>
      </x:c>
      <x:c r="E33" s="7" t="n">
        <x:v>0.1</x:v>
      </x:c>
      <x:c r="F33" s="7" t="str">
        <x:v>raw value</x:v>
      </x:c>
      <x:c r="G33" s="7" t="str">
        <x:v>Decimal</x:v>
      </x:c>
    </x:row>
    <x:row r="34" ht="33" customHeight="1">
      <x:c r="A34" s="7" t="str">
        <x:v>towers</x:v>
      </x:c>
      <x:c r="B34" s="7" t="str">
        <x:v>period</x:v>
      </x:c>
      <x:c r="C34" s="7" t="n">
        <x:v>0.1</x:v>
      </x:c>
      <x:c r="D34" s="7" t="n">
        <x:v>5</x:v>
      </x:c>
      <x:c r="E34" s="7" t="n">
        <x:v>0.01</x:v>
      </x:c>
      <x:c r="F34" s="7" t="str">
        <x:v> s</x:v>
      </x:c>
      <x:c r="G34" s="7" t="str">
        <x:v>Decimal</x:v>
      </x:c>
    </x:row>
    <x:row r="35" ht="33" customHeight="1">
      <x:c r="A35" s="7" t="str">
        <x:v>towers</x:v>
      </x:c>
      <x:c r="B35" s="7" t="str">
        <x:v>range</x:v>
      </x:c>
      <x:c r="C35" s="7" t="n">
        <x:v>10</x:v>
      </x:c>
      <x:c r="D35" s="7" t="n">
        <x:v>600</x:v>
      </x:c>
      <x:c r="E35" s="7" t="n">
        <x:v>1</x:v>
      </x:c>
      <x:c r="F35" s="7" t="str">
        <x:v> units</x:v>
      </x:c>
      <x:c r="G35" s="7" t="str">
        <x:v>Decimal</x:v>
      </x:c>
    </x:row>
    <x:row r="36" ht="33" customHeight="1">
      <x:c r="A36" s="7" t="str">
        <x:v>towers</x:v>
      </x:c>
      <x:c r="B36" s="7" t="str">
        <x:v>splash</x:v>
      </x:c>
      <x:c r="C36" s="7" t="n">
        <x:v>0</x:v>
      </x:c>
      <x:c r="D36" s="7" t="n">
        <x:v>300</x:v>
      </x:c>
      <x:c r="E36" s="7" t="n">
        <x:v>1</x:v>
      </x:c>
      <x:c r="F36" s="7" t="str">
        <x:v> units</x:v>
      </x:c>
      <x:c r="G36" s="7" t="str">
        <x:v>Decimal</x:v>
      </x:c>
    </x:row>
  </x:sheetData>
  <x:pageMargins left="0.7" right="0.7" top="0.75" bottom="0.75" header="0.3" footer="0.3"/>
  <x:tableParts count="1">
    <x:tablePart xmlns:r="http://schemas.openxmlformats.org/officeDocument/2006/relationships" r:id="Rc45dd9a22d404937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9" hidden="0" customWidth="1"/>
    <x:col min="2" max="2" width="32" hidden="0" customWidth="1"/>
    <x:col min="3" max="3" width="24" hidden="0" customWidth="1"/>
    <x:col min="4" max="4" width="28" hidden="0" customWidth="1"/>
  </x:cols>
  <x:sheetData>
    <x:row r="1">
      <x:c r="A1" s="2" t="str">
        <x:v>Boss Stats</x:v>
      </x:c>
      <x:c r="B1" s="1"/>
      <x:c r="C1" s="1"/>
      <x:c r="D1" s="1"/>
    </x:row>
    <x:row r="2">
      <x:c r="A2" s="3" t="str">
        <x:v>All boss numeric defaults, including counter strengths. Per-save limits are on Developer Tuning.</x:v>
      </x:c>
      <x:c r="B2" s="3"/>
      <x:c r="C2" s="3"/>
      <x:c r="D2" s="3"/>
    </x:row>
    <x:row r="3">
      <x:c r="A3" s="3" t="str">
        <x:v>Source: balance.gd: BOSSES; bosses.gd: damage, speed, advance</x:v>
      </x:c>
      <x:c r="B3" s="3"/>
      <x:c r="C3" s="3"/>
      <x:c r="D3" s="3"/>
    </x:row>
    <x:row r="4">
      <x:c r="A4" s="1"/>
      <x:c r="B4" s="1"/>
      <x:c r="C4" s="1"/>
      <x:c r="D4" s="1"/>
    </x:row>
    <x:row r="5">
      <x:c r="A5" s="1"/>
      <x:c r="B5" s="1"/>
      <x:c r="C5" s="1"/>
      <x:c r="D5" s="1"/>
    </x:row>
    <x:row r="6">
      <x:c r="A6" s="1"/>
      <x:c r="B6" s="1"/>
      <x:c r="C6" s="1"/>
      <x:c r="D6" s="1"/>
    </x:row>
    <x:row r="7" ht="45" customHeight="1">
      <x:c r="A7" s="22" t="str">
        <x:v>Boss</x:v>
      </x:c>
      <x:c r="B7" s="22" t="str">
        <x:v>Field</x:v>
      </x:c>
      <x:c r="C7" s="22" t="str">
        <x:v>Default value</x:v>
      </x:c>
      <x:c r="D7" s="22" t="str">
        <x:v>Unit</x:v>
      </x:c>
    </x:row>
    <x:row r="8" ht="33" customHeight="1">
      <x:c r="A8" s="7" t="str">
        <x:v>The Drowned Bell</x:v>
      </x:c>
      <x:c r="B8" s="7" t="str">
        <x:v>escort_count</x:v>
      </x:c>
      <x:c r="C8" s="7" t="n">
        <x:v>3</x:v>
      </x:c>
      <x:c r="D8" s="7" t="str">
        <x:v>raw value</x:v>
      </x:c>
    </x:row>
    <x:row r="9" ht="33" customHeight="1">
      <x:c r="A9" s="7" t="str">
        <x:v>The Drowned Bell</x:v>
      </x:c>
      <x:c r="B9" s="7" t="str">
        <x:v>escort_limit</x:v>
      </x:c>
      <x:c r="C9" s="7" t="n">
        <x:v>6</x:v>
      </x:c>
      <x:c r="D9" s="7" t="str">
        <x:v>raw value</x:v>
      </x:c>
    </x:row>
    <x:row r="10" ht="33" customHeight="1">
      <x:c r="A10" s="7" t="str">
        <x:v>The Drowned Bell</x:v>
      </x:c>
      <x:c r="B10" s="7" t="str">
        <x:v>hp</x:v>
      </x:c>
      <x:c r="C10" s="7" t="n">
        <x:v>2800</x:v>
      </x:c>
      <x:c r="D10" s="7" t="str">
        <x:v> HP</x:v>
      </x:c>
    </x:row>
    <x:row r="11" ht="33" customHeight="1">
      <x:c r="A11" s="7" t="str">
        <x:v>The Drowned Bell</x:v>
      </x:c>
      <x:c r="B11" s="7" t="str">
        <x:v>payout</x:v>
      </x:c>
      <x:c r="C11" s="7" t="n">
        <x:v>450</x:v>
      </x:c>
      <x:c r="D11" s="7" t="str">
        <x:v> gold</x:v>
      </x:c>
    </x:row>
    <x:row r="12" ht="33" customHeight="1">
      <x:c r="A12" s="7" t="str">
        <x:v>The Drowned Bell</x:v>
      </x:c>
      <x:c r="B12" s="7" t="str">
        <x:v>seal_multiplier</x:v>
      </x:c>
      <x:c r="C12" s="7" t="n">
        <x:v>4.5</x:v>
      </x:c>
      <x:c r="D12" s="7" t="str">
        <x:v>× hit damage</x:v>
      </x:c>
    </x:row>
    <x:row r="13" ht="33" customHeight="1">
      <x:c r="A13" s="7" t="str">
        <x:v>The Drowned Bell</x:v>
      </x:c>
      <x:c r="B13" s="7" t="str">
        <x:v>speed</x:v>
      </x:c>
      <x:c r="C13" s="7" t="n">
        <x:v>32</x:v>
      </x:c>
      <x:c r="D13" s="7" t="str">
        <x:v> units/s</x:v>
      </x:c>
    </x:row>
    <x:row r="14" ht="33" customHeight="1">
      <x:c r="A14" s="7" t="str">
        <x:v>The Drowned Bell</x:v>
      </x:c>
      <x:c r="B14" s="7" t="str">
        <x:v>toll_delay</x:v>
      </x:c>
      <x:c r="C14" s="7" t="n">
        <x:v>2</x:v>
      </x:c>
      <x:c r="D14" s="7" t="str">
        <x:v> s</x:v>
      </x:c>
    </x:row>
    <x:row r="15" ht="33" customHeight="1">
      <x:c r="A15" s="7" t="str">
        <x:v>The Drowned Bell</x:v>
      </x:c>
      <x:c r="B15" s="7" t="str">
        <x:v>toll_period</x:v>
      </x:c>
      <x:c r="C15" s="7" t="n">
        <x:v>8</x:v>
      </x:c>
      <x:c r="D15" s="7" t="str">
        <x:v> s</x:v>
      </x:c>
    </x:row>
    <x:row r="16" ht="33" customHeight="1">
      <x:c r="A16" s="7" t="str">
        <x:v>Cindermaw</x:v>
      </x:c>
      <x:c r="B16" s="7" t="str">
        <x:v>armor_reduction</x:v>
      </x:c>
      <x:c r="C16" s="7" t="n">
        <x:v>30</x:v>
      </x:c>
      <x:c r="D16" s="7" t="str">
        <x:v>%</x:v>
      </x:c>
    </x:row>
    <x:row r="17" ht="33" customHeight="1">
      <x:c r="A17" s="7" t="str">
        <x:v>Cindermaw</x:v>
      </x:c>
      <x:c r="B17" s="7" t="str">
        <x:v>frost_multiplier</x:v>
      </x:c>
      <x:c r="C17" s="7" t="n">
        <x:v>1.5</x:v>
      </x:c>
      <x:c r="D17" s="7" t="str">
        <x:v>×</x:v>
      </x:c>
    </x:row>
    <x:row r="18" ht="33" customHeight="1">
      <x:c r="A18" s="7" t="str">
        <x:v>Cindermaw</x:v>
      </x:c>
      <x:c r="B18" s="7" t="str">
        <x:v>haste_multiplier</x:v>
      </x:c>
      <x:c r="C18" s="7" t="n">
        <x:v>1.7</x:v>
      </x:c>
      <x:c r="D18" s="7" t="str">
        <x:v>×</x:v>
      </x:c>
    </x:row>
    <x:row r="19" ht="33" customHeight="1">
      <x:c r="A19" s="7" t="str">
        <x:v>Cindermaw</x:v>
      </x:c>
      <x:c r="B19" s="7" t="str">
        <x:v>hp</x:v>
      </x:c>
      <x:c r="C19" s="7" t="n">
        <x:v>3600</x:v>
      </x:c>
      <x:c r="D19" s="7" t="str">
        <x:v> HP</x:v>
      </x:c>
    </x:row>
    <x:row r="20" ht="33" customHeight="1">
      <x:c r="A20" s="7" t="str">
        <x:v>Cindermaw</x:v>
      </x:c>
      <x:c r="B20" s="7" t="str">
        <x:v>payout</x:v>
      </x:c>
      <x:c r="C20" s="7" t="n">
        <x:v>500</x:v>
      </x:c>
      <x:c r="D20" s="7" t="str">
        <x:v> gold</x:v>
      </x:c>
    </x:row>
    <x:row r="21" ht="33" customHeight="1">
      <x:c r="A21" s="7" t="str">
        <x:v>Cindermaw</x:v>
      </x:c>
      <x:c r="B21" s="7" t="str">
        <x:v>quench</x:v>
      </x:c>
      <x:c r="C21" s="7" t="n">
        <x:v>100</x:v>
      </x:c>
      <x:c r="D21" s="7" t="str">
        <x:v>%</x:v>
      </x:c>
    </x:row>
    <x:row r="22" ht="33" customHeight="1">
      <x:c r="A22" s="7" t="str">
        <x:v>Cindermaw</x:v>
      </x:c>
      <x:c r="B22" s="7" t="str">
        <x:v>rage_threshold</x:v>
      </x:c>
      <x:c r="C22" s="7" t="n">
        <x:v>50</x:v>
      </x:c>
      <x:c r="D22" s="7" t="str">
        <x:v>%</x:v>
      </x:c>
    </x:row>
    <x:row r="23" ht="33" customHeight="1">
      <x:c r="A23" s="7" t="str">
        <x:v>Cindermaw</x:v>
      </x:c>
      <x:c r="B23" s="7" t="str">
        <x:v>speed</x:v>
      </x:c>
      <x:c r="C23" s="7" t="n">
        <x:v>25</x:v>
      </x:c>
      <x:c r="D23" s="7" t="str">
        <x:v> units/s</x:v>
      </x:c>
    </x:row>
    <x:row r="24" ht="33" customHeight="1">
      <x:c r="A24" s="7" t="str">
        <x:v>The Eclipse Prior</x:v>
      </x:c>
      <x:c r="B24" s="7" t="str">
        <x:v>curse_threshold</x:v>
      </x:c>
      <x:c r="C24" s="7" t="n">
        <x:v>5</x:v>
      </x:c>
      <x:c r="D24" s="7" t="str">
        <x:v> stacks</x:v>
      </x:c>
    </x:row>
    <x:row r="25" ht="33" customHeight="1">
      <x:c r="A25" s="7" t="str">
        <x:v>The Eclipse Prior</x:v>
      </x:c>
      <x:c r="B25" s="7" t="str">
        <x:v>doom_bypass</x:v>
      </x:c>
      <x:c r="C25" s="7" t="n">
        <x:v>1</x:v>
      </x:c>
      <x:c r="D25" s="7" t="str">
        <x:v>raw value</x:v>
      </x:c>
    </x:row>
    <x:row r="26" ht="33" customHeight="1">
      <x:c r="A26" s="7" t="str">
        <x:v>The Eclipse Prior</x:v>
      </x:c>
      <x:c r="B26" s="7" t="str">
        <x:v>hp</x:v>
      </x:c>
      <x:c r="C26" s="7" t="n">
        <x:v>3000</x:v>
      </x:c>
      <x:c r="D26" s="7" t="str">
        <x:v> HP</x:v>
      </x:c>
    </x:row>
    <x:row r="27" ht="33" customHeight="1">
      <x:c r="A27" s="7" t="str">
        <x:v>The Eclipse Prior</x:v>
      </x:c>
      <x:c r="B27" s="7" t="str">
        <x:v>payout</x:v>
      </x:c>
      <x:c r="C27" s="7" t="n">
        <x:v>500</x:v>
      </x:c>
      <x:c r="D27" s="7" t="str">
        <x:v> gold</x:v>
      </x:c>
    </x:row>
    <x:row r="28" ht="33" customHeight="1">
      <x:c r="A28" s="7" t="str">
        <x:v>The Eclipse Prior</x:v>
      </x:c>
      <x:c r="B28" s="7" t="str">
        <x:v>regen_period</x:v>
      </x:c>
      <x:c r="C28" s="7" t="n">
        <x:v>10</x:v>
      </x:c>
      <x:c r="D28" s="7" t="str">
        <x:v> s</x:v>
      </x:c>
    </x:row>
    <x:row r="29" ht="33" customHeight="1">
      <x:c r="A29" s="7" t="str">
        <x:v>The Eclipse Prior</x:v>
      </x:c>
      <x:c r="B29" s="7" t="str">
        <x:v>regrowth_suppression</x:v>
      </x:c>
      <x:c r="C29" s="7" t="n">
        <x:v>100</x:v>
      </x:c>
      <x:c r="D29" s="7" t="str">
        <x:v>%</x:v>
      </x:c>
    </x:row>
    <x:row r="30" ht="33" customHeight="1">
      <x:c r="A30" s="7" t="str">
        <x:v>The Eclipse Prior</x:v>
      </x:c>
      <x:c r="B30" s="7" t="str">
        <x:v>speed</x:v>
      </x:c>
      <x:c r="C30" s="7" t="n">
        <x:v>30</x:v>
      </x:c>
      <x:c r="D30" s="7" t="str">
        <x:v> units/s</x:v>
      </x:c>
    </x:row>
    <x:row r="31" ht="33" customHeight="1">
      <x:c r="A31" s="7" t="str">
        <x:v>The Eclipse Prior</x:v>
      </x:c>
      <x:c r="B31" s="7" t="str">
        <x:v>wards</x:v>
      </x:c>
      <x:c r="C31" s="7" t="n">
        <x:v>3</x:v>
      </x:c>
      <x:c r="D31" s="7" t="str">
        <x:v> hits</x:v>
      </x:c>
    </x:row>
    <x:row r="32" ht="33" customHeight="1">
      <x:c r="A32" s="7" t="str">
        <x:v>Briarbound Warden</x:v>
      </x:c>
      <x:c r="B32" s="7" t="str">
        <x:v>fire_multiplier</x:v>
      </x:c>
      <x:c r="C32" s="7" t="n">
        <x:v>2</x:v>
      </x:c>
      <x:c r="D32" s="7" t="str">
        <x:v>×</x:v>
      </x:c>
    </x:row>
    <x:row r="33" ht="33" customHeight="1">
      <x:c r="A33" s="7" t="str">
        <x:v>Briarbound Warden</x:v>
      </x:c>
      <x:c r="B33" s="7" t="str">
        <x:v>hp</x:v>
      </x:c>
      <x:c r="C33" s="7" t="n">
        <x:v>3200</x:v>
      </x:c>
      <x:c r="D33" s="7" t="str">
        <x:v> HP</x:v>
      </x:c>
    </x:row>
    <x:row r="34" ht="33" customHeight="1">
      <x:c r="A34" s="7" t="str">
        <x:v>Briarbound Warden</x:v>
      </x:c>
      <x:c r="B34" s="7" t="str">
        <x:v>payout</x:v>
      </x:c>
      <x:c r="C34" s="7" t="n">
        <x:v>450</x:v>
      </x:c>
      <x:c r="D34" s="7" t="str">
        <x:v> gold</x:v>
      </x:c>
    </x:row>
    <x:row r="35" ht="33" customHeight="1">
      <x:c r="A35" s="7" t="str">
        <x:v>Briarbound Warden</x:v>
      </x:c>
      <x:c r="B35" s="7" t="str">
        <x:v>regen_period</x:v>
      </x:c>
      <x:c r="C35" s="7" t="n">
        <x:v>10</x:v>
      </x:c>
      <x:c r="D35" s="7" t="str">
        <x:v> s</x:v>
      </x:c>
    </x:row>
    <x:row r="36" ht="33" customHeight="1">
      <x:c r="A36" s="7" t="str">
        <x:v>Briarbound Warden</x:v>
      </x:c>
      <x:c r="B36" s="7" t="str">
        <x:v>regrowth_suppression</x:v>
      </x:c>
      <x:c r="C36" s="7" t="n">
        <x:v>100</x:v>
      </x:c>
      <x:c r="D36" s="7" t="str">
        <x:v>%</x:v>
      </x:c>
    </x:row>
    <x:row r="37" ht="33" customHeight="1">
      <x:c r="A37" s="7" t="str">
        <x:v>Briarbound Warden</x:v>
      </x:c>
      <x:c r="B37" s="7" t="str">
        <x:v>shield</x:v>
      </x:c>
      <x:c r="C37" s="7" t="n">
        <x:v>600</x:v>
      </x:c>
      <x:c r="D37" s="7" t="str">
        <x:v> HP</x:v>
      </x:c>
    </x:row>
    <x:row r="38" ht="33" customHeight="1">
      <x:c r="A38" s="7" t="str">
        <x:v>Briarbound Warden</x:v>
      </x:c>
      <x:c r="B38" s="7" t="str">
        <x:v>speed</x:v>
      </x:c>
      <x:c r="C38" s="7" t="n">
        <x:v>27</x:v>
      </x:c>
      <x:c r="D38" s="7" t="str">
        <x:v> units/s</x:v>
      </x:c>
    </x:row>
  </x:sheetData>
  <x:pageMargins left="0.7" right="0.7" top="0.75" bottom="0.75" header="0.3" footer="0.3"/>
  <x:tableParts count="1">
    <x:tablePart xmlns:r="http://schemas.openxmlformats.org/officeDocument/2006/relationships" r:id="Rd023fe34abed482c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1" hidden="0" customWidth="1"/>
    <x:col min="2" max="2" width="51" hidden="0" customWidth="1"/>
    <x:col min="3" max="3" width="116" hidden="0" customWidth="1"/>
  </x:cols>
  <x:sheetData>
    <x:row r="1">
      <x:c r="A1" s="2" t="str">
        <x:v>Income Rules</x:v>
      </x:c>
      <x:c r="B1" s="1"/>
      <x:c r="C1" s="1"/>
    </x:row>
    <x:row r="2">
      <x:c r="A2" s="3" t="str">
        <x:v>Gold accounting and exclusions. Spawn-based income in Traffic is a theoretical ceiling, not an offline guarantee.</x:v>
      </x:c>
      <x:c r="B2" s="3"/>
      <x:c r="C2" s="3"/>
    </x:row>
    <x:row r="3">
      <x:c r="A3" s="3" t="str">
        <x:v>Source: economy.gd: credit, collect, sell, relocate; combat.gd: hit; game_state.gd: apply_offline</x:v>
      </x:c>
      <x:c r="B3" s="3"/>
      <x:c r="C3" s="3"/>
    </x:row>
    <x:row r="4">
      <x:c r="A4" s="1"/>
      <x:c r="B4" s="1"/>
      <x:c r="C4" s="1"/>
    </x:row>
    <x:row r="5">
      <x:c r="A5" s="1"/>
      <x:c r="B5" s="1"/>
      <x:c r="C5" s="1"/>
    </x:row>
    <x:row r="6">
      <x:c r="A6" s="1"/>
      <x:c r="B6" s="1"/>
      <x:c r="C6" s="1"/>
    </x:row>
    <x:row r="7" ht="45" customHeight="1">
      <x:c r="A7" s="22" t="str">
        <x:v>Event</x:v>
      </x:c>
      <x:c r="B7" s="22" t="str">
        <x:v>Gold / calculation</x:v>
      </x:c>
      <x:c r="C7" s="22" t="str">
        <x:v>Behavior</x:v>
      </x:c>
    </x:row>
    <x:row r="8" ht="48" customHeight="1">
      <x:c r="A8" s="23" t="str">
        <x:v>Regular enemy defeat</x:v>
      </x:c>
      <x:c r="B8" s="23" t="str">
        <x:v>Gold from Enemies / Rift Enemies</x:v>
      </x:c>
      <x:c r="C8" s="23" t="str">
        <x:v>Credited to the tower that delivers the killing blow. One credit per defeat; stored as unclaimed earnings.</x:v>
      </x:c>
    </x:row>
    <x:row r="9" ht="48" customHeight="1">
      <x:c r="A9" s="23" t="str">
        <x:v>Boss defeat</x:v>
      </x:c>
      <x:c r="B9" s="23" t="str">
        <x:v>Gold from Bosses</x:v>
      </x:c>
      <x:c r="C9" s="23" t="str">
        <x:v>One-time reward, credited to the killing tower. Excluded from offline production history.</x:v>
      </x:c>
    </x:row>
    <x:row r="10" ht="48" customHeight="1">
      <x:c r="A10" s="23" t="str">
        <x:v>Boss escort defeat</x:v>
      </x:c>
      <x:c r="B10" s="23" t="n">
        <x:v>0</x:v>
      </x:c>
      <x:c r="C10" s="23" t="str">
        <x:v>No bounty, even though normal Hollows give gold.</x:v>
      </x:c>
    </x:row>
    <x:row r="11" ht="48" customHeight="1">
      <x:c r="A11" s="23" t="str">
        <x:v>Enemy escape</x:v>
      </x:c>
      <x:c r="B11" s="23" t="n">
        <x:v>0</x:v>
      </x:c>
      <x:c r="C11" s="23" t="str">
        <x:v>No bounty, gold penalty or core damage. Increases escape count.</x:v>
      </x:c>
    </x:row>
    <x:row r="12" ht="48" customHeight="1">
      <x:c r="A12" s="23" t="str">
        <x:v>Rift / portal</x:v>
      </x:c>
      <x:c r="B12" s="23" t="n">
        <x:v>0</x:v>
      </x:c>
      <x:c r="C12" s="23" t="str">
        <x:v>No passive gold directly; it supplies enemies whose defeats produce income.</x:v>
      </x:c>
    </x:row>
    <x:row r="13" ht="48" customHeight="1">
      <x:c r="A13" s="23" t="str">
        <x:v>Tower passive income</x:v>
      </x:c>
      <x:c r="B13" s="23" t="n">
        <x:v>0</x:v>
      </x:c>
      <x:c r="C13" s="23" t="str">
        <x:v>Towers earn from credited defeats; no fixed gold per second independent of kills.</x:v>
      </x:c>
    </x:row>
    <x:row r="14" ht="48" customHeight="1">
      <x:c r="A14" s="23" t="str">
        <x:v>Manual collection</x:v>
      </x:c>
      <x:c r="B14" s="23" t="str">
        <x:v>All selected unclaimed earnings</x:v>
      </x:c>
      <x:c r="C14" s="23" t="str">
        <x:v>Transfers earnings to spendable balance; does not create additional income or lifetime earnings.</x:v>
      </x:c>
    </x:row>
    <x:row r="15" ht="48" customHeight="1">
      <x:c r="A15" s="23" t="str">
        <x:v>Automation</x:v>
      </x:c>
      <x:c r="B15" s="23" t="str">
        <x:v>Same earned amount</x:v>
      </x:c>
      <x:c r="C15" s="23" t="str">
        <x:v>Automatically collects at each tick and after offline award. No extra bounty or multiplier.</x:v>
      </x:c>
    </x:row>
    <x:row r="16" ht="48" customHeight="1">
      <x:c r="A16" s="23" t="str">
        <x:v>Tower sale</x:v>
      </x:c>
      <x:c r="B16" s="23" t="str">
        <x:v>Refund + unclaimed tower earnings</x:v>
      </x:c>
      <x:c r="C16" s="23" t="str">
        <x:v>Refund = floor(current invested cost × 0.5). Sale removes its production history.</x:v>
      </x:c>
    </x:row>
    <x:row r="17" ht="48" customHeight="1">
      <x:c r="A17" s="23" t="str">
        <x:v>Tower move</x:v>
      </x:c>
      <x:c r="B17" s="23" t="str">
        <x:v>Costs gold and pauses firing</x:v>
      </x:c>
      <x:c r="C17" s="23" t="str">
        <x:v>ceil(current invested cost × 0.2); historical production is cleared on relocation.</x:v>
      </x:c>
    </x:row>
    <x:row r="18" ht="48" customHeight="1">
      <x:c r="A18" s="23" t="str">
        <x:v>Offline income</x:v>
      </x:c>
      <x:c r="B18" s="23" t="str">
        <x:v>Observed production × 0.8 × earning seconds</x:v>
      </x:c>
      <x:c r="C18" s="23" t="str">
        <x:v>Per region and tower: history gold / max(60, history time). Earning seconds exclude rebuilding time.</x:v>
      </x:c>
    </x:row>
    <x:row r="19" ht="48" customHeight="1">
      <x:c r="A19" s="23" t="str">
        <x:v>Offline eligibility</x:v>
      </x:c>
      <x:c r="B19" s="23" t="str">
        <x:v>Regular enemy history only</x:v>
      </x:c>
      <x:c r="C19" s="23" t="str">
        <x:v>Bosses and escorts excluded. Fresh or unproductive regions earn zero; no theoretical 100%-kill fallback.</x:v>
      </x:c>
    </x:row>
    <x:row r="20" ht="48" customHeight="1">
      <x:c r="A20" s="23" t="str">
        <x:v>Offline timing</x:v>
      </x:c>
      <x:c r="B20" s="23" t="str">
        <x:v>2 s minimum; 604800 s maximum</x:v>
      </x:c>
      <x:c r="C20" s="23" t="str">
        <x:v>Elapsed clamped to seven days; backward clocks give no award. Remaining rebuild time advances first.</x:v>
      </x:c>
    </x:row>
    <x:row r="21" ht="48" customHeight="1">
      <x:c r="A21" s="23" t="str">
        <x:v>Offline destination</x:v>
      </x:c>
      <x:c r="B21" s="23" t="str">
        <x:v>Tower earnings or reserve</x:v>
      </x:c>
      <x:c r="C21" s="23" t="str">
        <x:v>Missing tower IDs credit reserve. Automation collects it; otherwise manual collection required.</x:v>
      </x:c>
    </x:row>
    <x:row r="22" ht="48" customHeight="1">
      <x:c r="A22" s="23" t="str">
        <x:v>Developer balance change</x:v>
      </x:c>
      <x:c r="B22" s="23" t="str">
        <x:v>Earned gold retained</x:v>
      </x:c>
      <x:c r="C22" s="23" t="str">
        <x:v>Resets production history and displayed income events; future production is relearned.</x:v>
      </x:c>
    </x:row>
    <x:row r="23" ht="48" customHeight="1">
      <x:c r="A23" s="23" t="str">
        <x:v>Lifetime earnings</x:v>
      </x:c>
      <x:c r="B23" s="23" t="str">
        <x:v>Credited kill and offline awards</x:v>
      </x:c>
      <x:c r="C23" s="23" t="str">
        <x:v>Starting balance, refunds, collection transfers and spending do not add lifetime earnings.</x:v>
      </x:c>
    </x:row>
    <x:row r="24" ht="48" customHeight="1">
      <x:c r="A24" s="23" t="str">
        <x:v>First expansion</x:v>
      </x:c>
      <x:c r="B24" s="23" t="str">
        <x:v>100 gold</x:v>
      </x:c>
      <x:c r="C24" s="23" t="str">
        <x:v>From 280 starting gold, leaves 180 for initial defenses.</x:v>
      </x:c>
    </x:row>
  </x:sheetData>
  <x:pageMargins left="0.7" right="0.7" top="0.75" bottom="0.75" header="0.3" footer="0.3"/>
  <x:tableParts count="1">
    <x:tablePart xmlns:r="http://schemas.openxmlformats.org/officeDocument/2006/relationships" r:id="R458ab58cb78f4817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1" hidden="0" customWidth="1"/>
    <x:col min="2" max="2" width="64" hidden="0" customWidth="1"/>
    <x:col min="3" max="3" width="79" hidden="0" customWidth="1"/>
  </x:cols>
  <x:sheetData>
    <x:row r="1">
      <x:c r="A1" s="2" t="str">
        <x:v>Sources</x:v>
      </x:c>
      <x:c r="B1" s="1"/>
      <x:c r="C1" s="1"/>
    </x:row>
    <x:row r="2">
      <x:c r="A2" s="3" t="str">
        <x:v>Snapshot of local game defaults, September 5, 2026; includes current local encounter changes.</x:v>
      </x:c>
      <x:c r="B2" s="3"/>
      <x:c r="C2" s="3"/>
    </x:row>
    <x:row r="3">
      <x:c r="A3" s="3" t="str">
        <x:v>Source: Local game source files; SHA-256 hashes identify exact contents</x:v>
      </x:c>
      <x:c r="B3" s="3"/>
      <x:c r="C3" s="3"/>
    </x:row>
    <x:row r="4">
      <x:c r="A4" s="1" t="str">
        <x:v>Workbook edits do not update the game. Developer overrides and live save balances are not included.</x:v>
      </x:c>
      <x:c r="B4" s="1"/>
      <x:c r="C4" s="1"/>
    </x:row>
    <x:row r="5">
      <x:c r="A5" s="1" t="str">
        <x:v>Expansion shows 100 sample purchases; its formula continues indefinitely. Gold/min assumes all enemies are killed.</x:v>
      </x:c>
      <x:c r="B5" s="1"/>
      <x:c r="C5" s="1"/>
    </x:row>
    <x:row r="6">
      <x:c r="A6" s="1"/>
      <x:c r="B6" s="1"/>
      <x:c r="C6" s="1"/>
    </x:row>
    <x:row r="7" ht="45" customHeight="1">
      <x:c r="A7" s="22" t="str">
        <x:v>Source file</x:v>
      </x:c>
      <x:c r="B7" s="22" t="str">
        <x:v>Coverage</x:v>
      </x:c>
      <x:c r="C7" s="22" t="str">
        <x:v>SHA-256</x:v>
      </x:c>
    </x:row>
    <x:row r="8" ht="33" customHeight="1">
      <x:c r="A8" s="7" t="str">
        <x:v>balance.gd</x:v>
      </x:c>
      <x:c r="B8" s="7" t="str">
        <x:v>Definitions, tiers, prices and tuning</x:v>
      </x:c>
      <x:c r="C8" s="7" t="str">
        <x:v>f1ef96037403f56d187cf63d4ac305695be600080f3a62f506600db5d3cab1f6</x:v>
      </x:c>
    </x:row>
    <x:row r="9" ht="33" customHeight="1">
      <x:c r="A9" s="7" t="str">
        <x:v>combat.gd</x:v>
      </x:c>
      <x:c r="B9" s="7" t="str">
        <x:v>Rewards, rift effects and branch mechanics</x:v>
      </x:c>
      <x:c r="C9" s="7" t="str">
        <x:v>5512b693a38470fab77fa420c93e1b3395c833784b2145fa2a35efbb06913801</x:v>
      </x:c>
    </x:row>
    <x:row r="10" ht="33" customHeight="1">
      <x:c r="A10" s="7" t="str">
        <x:v>bosses.gd</x:v>
      </x:c>
      <x:c r="B10" s="7" t="str">
        <x:v>Boss definitions, defenses and summons</x:v>
      </x:c>
      <x:c r="C10" s="7" t="str">
        <x:v>0adafc928657981320960afb61b9b3ff5c48eade39e84deabff65ab4ad76f6d8</x:v>
      </x:c>
    </x:row>
    <x:row r="11" ht="33" customHeight="1">
      <x:c r="A11" s="7" t="str">
        <x:v>economy.gd</x:v>
      </x:c>
      <x:c r="B11" s="7" t="str">
        <x:v>Transactions and collection</x:v>
      </x:c>
      <x:c r="C11" s="7" t="str">
        <x:v>de1dee5f02bc8d2f8e2dca4c276da6249d8298b1d485aff7c4218daa29505ced</x:v>
      </x:c>
    </x:row>
    <x:row r="12" ht="33" customHeight="1">
      <x:c r="A12" s="7" t="str">
        <x:v>game_state.gd</x:v>
      </x:c>
      <x:c r="B12" s="7" t="str">
        <x:v>Expansion and offline income</x:v>
      </x:c>
      <x:c r="C12" s="7" t="str">
        <x:v>cc7cbb764d75dc0d0561603afb1075a6f53980b02dbc1317bb42379bfc28cdd7</x:v>
      </x:c>
    </x:row>
    <x:row r="13" ht="33" customHeight="1">
      <x:c r="A13" s="7" t="str">
        <x:v>world.gd</x:v>
      </x:c>
      <x:c r="B13" s="7" t="str">
        <x:v>World generation, spawning and encounters</x:v>
      </x:c>
      <x:c r="C13" s="7" t="str">
        <x:v>e93adc8158003dae89b2630f5590834b1f843941ae6ed8d17946c0e530c94ebc</x:v>
      </x:c>
    </x:row>
    <x:row r="14" ht="33" customHeight="1">
      <x:c r="A14" s="7" t="str">
        <x:v>hidden_areas.gd</x:v>
      </x:c>
      <x:c r="B14" s="7" t="str">
        <x:v>World generation, spawning and encounters</x:v>
      </x:c>
      <x:c r="C14" s="7" t="str">
        <x:v>efb8d91538769b4513a533e823492d9f53b5c7aee42478d43f7ae338c879e1e8</x:v>
      </x:c>
    </x:row>
    <x:row r="15" ht="33" customHeight="1">
      <x:c r="A15" s="7" t="str">
        <x:v>attack_effects.gd</x:v>
      </x:c>
      <x:c r="B15" s="7" t="str">
        <x:v>Gameplay projectile timing</x:v>
      </x:c>
      <x:c r="C15" s="7" t="str">
        <x:v>71d5fad437e9689ca57fe7cb07ff32de86084f69bde3532ce8c58c6a0f2c7de8</x:v>
      </x:c>
    </x:row>
  </x:sheetData>
  <x:pageMargins left="0.7" right="0.7" top="0.75" bottom="0.75" header="0.3" footer="0.3"/>
  <x:tableParts count="1">
    <x:tablePart xmlns:r="http://schemas.openxmlformats.org/officeDocument/2006/relationships" r:id="R05cbf760785b4886"/>
  </x:tableParts>
</x:worksheet>
</file>